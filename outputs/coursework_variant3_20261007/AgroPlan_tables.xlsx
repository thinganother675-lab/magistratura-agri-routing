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bf2288fac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удит данных" sheetId="1" r:id="Rd60faabde3df4dad"/>
    <x:sheet xmlns:r="http://schemas.openxmlformats.org/officeDocument/2006/relationships" name="План и часы" sheetId="2" r:id="R7e446da34a194eb5"/>
    <x:sheet xmlns:r="http://schemas.openxmlformats.org/officeDocument/2006/relationships" name="Риски и зависимости" sheetId="3" r:id="R3d7427560d734723"/>
    <x:sheet xmlns:r="http://schemas.openxmlformats.org/officeDocument/2006/relationships" name="Согласование" sheetId="4" r:id="R2a13f322cbee437a"/>
    <x:sheet xmlns:r="http://schemas.openxmlformats.org/officeDocument/2006/relationships" name="Экономика" sheetId="5" r:id="Rf457446870dc4f6b"/>
    <x:sheet xmlns:r="http://schemas.openxmlformats.org/officeDocument/2006/relationships" name="Ставки и оборудование" sheetId="6" r:id="Rd2241a416418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%"/>
    <x:numFmt numFmtId="201" formatCode="0"/>
    <x:numFmt numFmtId="202" formatCode="0.0"/>
    <x:numFmt numFmtId="203" formatCode="#,##0"/>
    <x:numFmt numFmtId="204" formatCode="0.00"/>
    <x:numFmt numFmtId="205" formatCode="0.0%"/>
    <x:numFmt numFmtId="206" formatCode="#,##0;(#,##0);&quot;-&quot;"/>
  </x:numFmts>
  <x:fonts count="7">
    <x:font>
      <x:sz val="11"/>
      <x:name val="Carlito"/>
    </x:font>
    <x:font>
      <x:sz val="11"/>
      <x:color rgb="FF193128"/>
      <x:name val="Arial"/>
    </x:font>
    <x:font>
      <x:b/>
      <x:sz val="16"/>
      <x:color rgb="FF1D493A"/>
      <x:name val="Arial"/>
    </x:font>
    <x:font>
      <x:b/>
      <x:sz val="11"/>
      <x:color rgb="FFFFFFFF"/>
      <x:name val="Arial"/>
    </x:font>
    <x:font>
      <x:b/>
      <x:sz val="11"/>
      <x:color rgb="FF193128"/>
      <x:name val="Arial"/>
    </x:font>
    <x:font>
      <x:sz val="11"/>
      <x:color rgb="FF2458A6"/>
      <x:name val="Arial"/>
    </x:font>
    <x:font>
      <x:sz val="11"/>
      <x:color rgb="FF23814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D40"/>
      </x:patternFill>
    </x:fill>
    <x:fill>
      <x:patternFill patternType="solid">
        <x:fgColor rgb="FFF0F5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/>
    </x:xf>
    <x:xf numFmtId="203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3" fontId="5" fillId="3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 applyAlignment="1">
      <x:alignment vertical="top"/>
    </x:xf>
    <x:xf numFmtId="206" fontId="1" fillId="3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AD2822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b5a66c0044c55" /><Relationship Type="http://schemas.openxmlformats.org/officeDocument/2006/relationships/theme" Target="/xl/theme/theme1.xml" Id="R396c2066f6774e6e" /><Relationship Type="http://schemas.openxmlformats.org/officeDocument/2006/relationships/sharedStrings" Target="/xl/sharedStrings.xml" Id="R8db031f2823d4fee" /><Relationship Type="http://schemas.openxmlformats.org/officeDocument/2006/relationships/worksheet" Target="/xl/worksheets/sheet1.xml" Id="Rd60faabde3df4dad" /><Relationship Type="http://schemas.openxmlformats.org/officeDocument/2006/relationships/worksheet" Target="/xl/worksheets/sheet2.xml" Id="R7e446da34a194eb5" /><Relationship Type="http://schemas.openxmlformats.org/officeDocument/2006/relationships/worksheet" Target="/xl/worksheets/sheet3.xml" Id="R3d7427560d734723" /><Relationship Type="http://schemas.openxmlformats.org/officeDocument/2006/relationships/worksheet" Target="/xl/worksheets/sheet4.xml" Id="R2a13f322cbee437a" /><Relationship Type="http://schemas.openxmlformats.org/officeDocument/2006/relationships/worksheet" Target="/xl/worksheets/sheet5.xml" Id="Rf457446870dc4f6b" /><Relationship Type="http://schemas.openxmlformats.org/officeDocument/2006/relationships/worksheet" Target="/xl/worksheets/sheet6.xml" Id="Rd2241a41641849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93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.6299991607666" hidden="0" customWidth="1"/>
    <x:col min="2" max="2" width="80" hidden="0" customWidth="1"/>
    <x:col min="3" max="3" width="83.75" hidden="0" customWidth="1"/>
  </x:cols>
  <x:sheetData>
    <x:row r="1">
      <x:c r="A1" s="2"/>
      <x:c r="B1" s="2"/>
      <x:c r="C1" s="2"/>
    </x:row>
    <x:row r="2" ht="30" customHeight="1">
      <x:c r="A2" s="3" t="str">
        <x:v>Задание 2. Готовность данных AgroPlan</x:v>
      </x:c>
      <x:c r="B2" s="2"/>
      <x:c r="C2" s="2"/>
    </x:row>
    <x:row r="3">
      <x:c r="A3" s="2"/>
      <x:c r="B3" s="2"/>
      <x:c r="C3" s="2"/>
    </x:row>
    <x:row r="4">
      <x:c r="A4" s="2" t="str">
        <x:v>Статус: искусственные данные. Реальный архив и калибровка требуются до обучения модели в полевых условиях.</x:v>
      </x:c>
      <x:c r="B4" s="2"/>
      <x:c r="C4" s="2"/>
    </x:row>
    <x:row r="5">
      <x:c r="A5" s="2"/>
      <x:c r="B5" s="2"/>
      <x:c r="C5" s="2"/>
    </x:row>
    <x:row r="6" ht="40" customHeight="1">
      <x:c r="A6" s="8" t="str">
        <x:v>Пункт проверочного списка</x:v>
      </x:c>
      <x:c r="B6" s="8" t="str">
        <x:v>Ответ</x:v>
      </x:c>
      <x:c r="C6" s="8" t="str">
        <x:v>Обоснование</x:v>
      </x:c>
    </x:row>
    <x:row r="7" ht="72" customHeight="1">
      <x:c r="A7" s="10" t="str">
        <x:v>1. Готовность данных</x:v>
      </x:c>
      <x:c r="B7" s="10" t="str">
        <x:v>Сейчас есть только 120 искусственных суточных записей. Для внедрения нужны хотя бы один полный архивный сезон и будущий пилот, предпочтительно два разных сезона.</x:v>
      </x:c>
      <x:c r="C7" s="10" t="str">
        <x:v>Количество строк само по себе не доказывает достаточность. Допуск определяют покрытие фаз роста, типов погоды, доз и зон, а не случайный объём.</x:v>
      </x:c>
    </x:row>
    <x:row r="8" ht="72" customHeight="1">
      <x:c r="A8" s="9" t="str">
        <x:v>2. Набор источников</x:v>
      </x:c>
      <x:c r="B8" s="9" t="str">
        <x:v>Влажность по глубинам, осадки, ET0 и его метод, прогноз с временем выпуска, фактический полив по расходомеру, культура/фаза, характеристики почв и корней.</x:v>
      </x:c>
      <x:c r="C8" s="9" t="str">
        <x:v>Нужно различать сведения, доступные на момент рекомендации, и факты следующего дня. Прогнозы поставщика не заменяются будущими наблюдениями.</x:v>
      </x:c>
    </x:row>
    <x:row r="9" ht="72" customHeight="1">
      <x:c r="A9" s="10" t="str">
        <x:v>3. Перевод единиц</x:v>
      </x:c>
      <x:c r="B9" s="10" t="str">
        <x:v>Модель принимает запас доступной воды в мм. Объёмную влажность переводят по толщине слоя и точке увядания; несколько слоёв суммируют. КПа не переводят в мм без кривой водоудерживания участка.</x:v>
      </x:c>
      <x:c r="C9" s="10" t="str">
        <x:v>Тензиометр измеряет давление почвенной влаги, а не объём. IRROMETER прямо указывает отсутствие универсального перевода кПа в объёмную влажность. Отрицательные запасы и некалиброванные входы блокируют рекомендацию.</x:v>
      </x:c>
    </x:row>
    <x:row r="10" ht="72" customHeight="1">
      <x:c r="A10" s="9" t="str">
        <x:v>4. Объём и частота</x:v>
      </x:c>
      <x:c r="B10" s="9" t="str">
        <x:v>Предварительно 16 датчиков, 4 зоны, измерения каждые 15 минут, сезон 120 дней: 184 320 сырых показаний до пропусков. После агрегации около 480 строк зона-день.</x:v>
      </x:c>
      <x:c r="C10" s="9" t="str">
        <x:v>Высокая частота не создаёт столько же независимых примеров. Количество и положение датчиков уточняют по неоднородности поля. Модель обучается на суточном уровне.</x:v>
      </x:c>
    </x:row>
    <x:row r="11" ht="72" customHeight="1">
      <x:c r="A11" s="10" t="str">
        <x:v>5. Разметка</x:v>
      </x:c>
      <x:c r="B11" s="10" t="str">
        <x:v>Цель next_soil_mm получают из измерений следующего дня, дозу подтверждают журналом и расходомером. Дополнительные отметки: неисправность, ручное решение, фаза роста, контрольный урожай.</x:v>
      </x:c>
      <x:c r="C11" s="10" t="str">
        <x:v>Аннотация изображений не нужна. Эталон влажности зависит от калибровки. Измеренный следующий день допускается как цель обучения, но не как признак текущей рекомендации.</x:v>
      </x:c>
    </x:row>
    <x:row r="12" ht="72" customHeight="1">
      <x:c r="A12" s="9" t="str">
        <x:v>6. Проверка качества</x:v>
      </x:c>
      <x:c r="B12" s="9" t="str">
        <x:v>Дубли, временная зона, границы суток, пропуски, единицы, скачки и согласование журналов проверяются до обучения. Предлагаемая цель покрытия пригодными данными ≥95%.</x:v>
      </x:c>
      <x:c r="C12" s="9" t="str">
        <x:v>Нельзя превращать пропуск в ноль или протягивать будущие значения назад. Доля пригодных строк = пригодные / ожидаемые ×100%; порог согласуют с агрономом.</x:v>
      </x:c>
    </x:row>
    <x:row r="13" ht="72" customHeight="1">
      <x:c r="A13" s="10" t="str">
        <x:v>7. Предвзятость</x:v>
      </x:c>
      <x:c r="B13" s="10" t="str">
        <x:v>Один участок, один сорт, обычные дозы и мягкая погода ограничат перенос. Отдельно проверяют засуху, осадки, края поля и новые зоны.</x:v>
      </x:c>
      <x:c r="C13" s="10" t="str">
        <x:v>Предлагается временное разбиение и исключение целой зоны из обучения. Соседние строки и датчики одной зоны коррелируют; случайное разделение дней на обучение и проверку завышает оценку.</x:v>
      </x:c>
    </x:row>
    <x:row r="14" ht="72" customHeight="1">
      <x:c r="A14" s="9" t="str">
        <x:v>8. Метрики прогноза</x:v>
      </x:c>
      <x:c r="B14" s="9" t="str">
        <x:v>Средняя абсолютная ошибка в мм, среднеквадратичная ошибка в мм и среднее смещение прогноза. Проверка отдельно по зонам и сухим дням. Цель: средняя абсолютная ошибка не менее чем на 5% ниже расчётного метода на периоде после обучения.</x:v>
      </x:c>
      <x:c r="C14" s="9" t="str">
        <x:v>Средняя абсолютная ошибка показывает обычный размер отклонения. Среднеквадратичная ошибка сильнее учитывает крупные ошибки. Доля верных классов и F1 относятся к классификации; здесь прогнозируется числовое значение. Неопределённость оценивают с учётом связи соседних дней.</x:v>
      </x:c>
    </x:row>
    <x:row r="15" ht="72" customHeight="1">
      <x:c r="A15" s="10" t="str">
        <x:v>9. Метрики решений</x:v>
      </x:c>
      <x:c r="B15" s="10" t="str">
        <x:v>Расход м³/га/сезон; дни и интегральная величина отклонения ниже согласованного порога; ручные отклонения; урожай и качество после сезона.</x:v>
      </x:c>
      <x:c r="C15" s="10" t="str">
        <x:v>Экономия воды не доказывает сохранение урожая. При моделировании полива обученная модель даёт 2 дня ниже порога против 0 у календаря. Порог стенда нельзя объявлять физиологическим стрессом томатов.</x:v>
      </x:c>
    </x:row>
    <x:row r="16" ht="72" customHeight="1">
      <x:c r="A16" s="9" t="str">
        <x:v>10. Этические ограничения</x:v>
      </x:c>
      <x:c r="B16" s="9" t="str">
        <x:v>Рекомендацию подтверждает агроном; работников не оценивают по журналу. Точные границы поля и агрономические записи закрыты. Ошибку можно объяснить и оспорить.</x:v>
      </x:c>
      <x:c r="C16" s="9" t="str">
        <x:v>Даже без персональных данных сведения о хозяйстве коммерчески чувствительны. Назначение ответственного предотвращает автоматическое исполнение неподтверждённой дозы.</x:v>
      </x:c>
    </x:row>
    <x:row r="17" ht="72" customHeight="1">
      <x:c r="A17" s="10" t="str">
        <x:v>11. Инфраструктура</x:v>
      </x:c>
      <x:c r="B17" s="10" t="str">
        <x:v>Пилот: процессорный ПК, локальная база, регистратор и буфер при потере связи. Для промышленной версии нужны роли, резервные копии и контроль источников.</x:v>
      </x:c>
      <x:c r="C17" s="10" t="str">
        <x:v>Графический ускоритель и внешняя языковая модель не требуются. Сейчас прототип принимает CSV и не подключён к датчикам; эти интеграции входят в будущую смету.</x:v>
      </x:c>
    </x:row>
    <x:row r="18" ht="72" customHeight="1">
      <x:c r="A18" s="9" t="str">
        <x:v>12. Альтернативы без обучения модели</x:v>
      </x:c>
      <x:c r="B18" s="9" t="str">
        <x:v>Календарь агронома; расчёт по водному балансу/CROPWAT; пороговый полив по датчикам. Все сравниваются с обученной моделью.</x:v>
      </x:c>
      <x:c r="C18" s="9" t="str">
        <x:v>Расчётный способ дешевле и может оказаться достаточным. CROPWAT планирует полив по почве, климату и культуре; его наличие не доказывает интеграцию с нашей системой.</x:v>
      </x:c>
    </x:row>
    <x:row r="19" ht="72" customHeight="1">
      <x:c r="A19" s="10" t="str">
        <x:v>13. Готовые решения</x:v>
      </x:c>
      <x:c r="B19" s="10" t="str">
        <x:v>IRROMETER: датчики/пороговое управление. Netafim GrowSphere: мониторинг, рекомендации и управление поливом. Запросить состав, интеграции, поддержку и коммерческую цену.</x:v>
      </x:c>
      <x:c r="C19" s="10" t="str">
        <x:v>Функции подтверждены сайтами производителей. Цена, наличие в РФ и совместимость с хозяйством не проверены, поэтому собственного ценового преимущества не заявляем.</x:v>
      </x:c>
    </x:row>
    <x:row r="20" ht="72" customHeight="1">
      <x:c r="A20" s="9" t="str">
        <x:v>14. Права и допуск к пилоту</x:v>
      </x:c>
      <x:c r="B20" s="9" t="str">
        <x:v>Подтвердить право использовать журнал, показания и прогнозы; проверить условия хранения и производных данных. Перед полем нужны ТЗ, агрономические пределы и критерии остановки.</x:v>
      </x:c>
      <x:c r="C20" s="9" t="str">
        <x:v>Открытая страница не равна разрешению на копирование данных. Если целевые наблюдения и права недоступны, полевые испытания модели откладывают.</x:v>
      </x:c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 t="str">
        <x:v>Источники и их границы: SOURCES_RU.md в текстовом комплекте; показатели - проектные цели.</x:v>
      </x:c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D493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25" hidden="0" customWidth="1"/>
    <x:col min="2" max="2" width="31.8799991607666" hidden="0" customWidth="1"/>
    <x:col min="3" max="3" width="8.130000114440918" hidden="0" customWidth="1"/>
    <x:col min="4" max="4" width="8.130000114440918" hidden="0" customWidth="1"/>
    <x:col min="5" max="5" width="8.130000114440918" hidden="0" customWidth="1"/>
    <x:col min="6" max="6" width="8.130000114440918" hidden="0" customWidth="1"/>
    <x:col min="7" max="7" width="8.130000114440918" hidden="0" customWidth="1"/>
    <x:col min="8" max="8" width="8.130000114440918" hidden="0" customWidth="1"/>
    <x:col min="9" max="9" width="8.130000114440918" hidden="0" customWidth="1"/>
    <x:col min="10" max="10" width="8.130000114440918" hidden="0" customWidth="1"/>
    <x:col min="11" max="11" width="10.630000114440918" hidden="0" customWidth="1"/>
    <x:col min="12" max="12" width="10.630000114440918" hidden="0" customWidth="1"/>
    <x:col min="13" max="13" width="11.25" hidden="0" customWidth="1"/>
    <x:col min="14" max="14" width="17.5" hidden="0" customWidth="1"/>
    <x:col min="15" max="15" width="30" hidden="0" customWidth="1"/>
    <x:col min="16" max="16" width="11.25" hidden="0" customWidth="1"/>
    <x:col min="17" max="17" width="13.1300001144409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Задание 4. Этапы и участие ролей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Учебная оценка профессионального внедрения. Часы студентов и ожидание сезона сюда не включены.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0" customHeight="1">
      <x:c r="A6" s="8" t="str">
        <x:v>№</x:v>
      </x:c>
      <x:c r="B6" s="8" t="str">
        <x:v>Этап</x:v>
      </x:c>
      <x:c r="C6" s="8" t="str">
        <x:v>РП</x:v>
      </x:c>
      <x:c r="D6" s="8" t="str">
        <x:v>АГ</x:v>
      </x:c>
      <x:c r="E6" s="8" t="str">
        <x:v>ИД</x:v>
      </x:c>
      <x:c r="F6" s="8" t="str">
        <x:v>АМ</x:v>
      </x:c>
      <x:c r="G6" s="8" t="str">
        <x:v>РМ</x:v>
      </x:c>
      <x:c r="H6" s="8" t="str">
        <x:v>ЭК</x:v>
      </x:c>
      <x:c r="I6" s="8" t="str">
        <x:v>ТЕСТ</x:v>
      </x:c>
      <x:c r="J6" s="8" t="str">
        <x:v>ЮР</x:v>
      </x:c>
      <x:c r="K6" s="8" t="str">
        <x:v>База, ч</x:v>
      </x:c>
      <x:c r="L6" s="8" t="str">
        <x:v>Резерв</x:v>
      </x:c>
      <x:c r="M6" s="8" t="str">
        <x:v>Резерв, ч</x:v>
      </x:c>
      <x:c r="N6" s="8" t="str">
        <x:v>Работы, руб.</x:v>
      </x:c>
      <x:c r="O6" s="8" t="str">
        <x:v>Предшественник</x:v>
      </x:c>
      <x:c r="P6" s="8" t="str">
        <x:v>Активные недели</x:v>
      </x:c>
      <x:c r="Q6" s="8" t="str">
        <x:v>Всего, ч</x:v>
      </x:c>
    </x:row>
    <x:row r="7" ht="44" customHeight="1">
      <x:c r="A7" s="10" t="n">
        <x:v>1</x:v>
      </x:c>
      <x:c r="B7" s="10" t="str">
        <x:v>Анализ и согласование</x:v>
      </x:c>
      <x:c r="C7" s="14" t="n">
        <x:v>16</x:v>
      </x:c>
      <x:c r="D7" s="14" t="n">
        <x:v>12</x:v>
      </x:c>
      <x:c r="E7" s="14" t="n">
        <x:v>8</x:v>
      </x:c>
      <x:c r="F7" s="14" t="n">
        <x:v>8</x:v>
      </x:c>
      <x:c r="G7" s="14" t="n">
        <x:v>0</x:v>
      </x:c>
      <x:c r="H7" s="14" t="n">
        <x:v>0</x:v>
      </x:c>
      <x:c r="I7" s="14" t="n">
        <x:v>4</x:v>
      </x:c>
      <x:c r="J7" s="14" t="n">
        <x:v>8</x:v>
      </x:c>
      <x:c r="K7" s="14" t="n">
        <x:f>SUM(C7:J7)</x:f>
        <x:v>56</x:v>
      </x:c>
      <x:c r="L7" s="12" t="n">
        <x:v>0.2</x:v>
      </x:c>
      <x:c r="M7" s="17" t="n">
        <x:f>K7*L7</x:f>
        <x:v>11.200000000000001</x:v>
      </x:c>
      <x:c r="N7" s="20" t="n">
        <x:f>(C7*'Ставки и оборудование'!C6+D7*'Ставки и оборудование'!C7+E7*'Ставки и оборудование'!C8+F7*'Ставки и оборудование'!C9+G7*'Ставки и оборудование'!C10+H7*'Ставки и оборудование'!C11+I7*'Ставки и оборудование'!C12+J7*'Ставки и оборудование'!C13)*(1+L7)</x:f>
        <x:v>96960</x:v>
      </x:c>
      <x:c r="O7" s="10" t="str">
        <x:v>Нет</x:v>
      </x:c>
      <x:c r="P7" s="10" t="n">
        <x:v>2</x:v>
      </x:c>
      <x:c r="Q7" s="17" t="n">
        <x:f>SUM(K7,M7)</x:f>
        <x:v>67.2</x:v>
      </x:c>
    </x:row>
    <x:row r="8" ht="44" customHeight="1">
      <x:c r="A8" s="9" t="n">
        <x:v>2</x:v>
      </x:c>
      <x:c r="B8" s="9" t="str">
        <x:v>Данные и калибровка</x:v>
      </x:c>
      <x:c r="C8" s="15" t="n">
        <x:v>8</x:v>
      </x:c>
      <x:c r="D8" s="15" t="n">
        <x:v>16</x:v>
      </x:c>
      <x:c r="E8" s="15" t="n">
        <x:v>40</x:v>
      </x:c>
      <x:c r="F8" s="15" t="n">
        <x:v>16</x:v>
      </x:c>
      <x:c r="G8" s="15" t="n">
        <x:v>0</x:v>
      </x:c>
      <x:c r="H8" s="15" t="n">
        <x:v>0</x:v>
      </x:c>
      <x:c r="I8" s="15" t="n">
        <x:v>8</x:v>
      </x:c>
      <x:c r="J8" s="15" t="n">
        <x:v>4</x:v>
      </x:c>
      <x:c r="K8" s="15" t="n">
        <x:f>SUM(C8:J8)</x:f>
        <x:v>92</x:v>
      </x:c>
      <x:c r="L8" s="13" t="n">
        <x:v>0.3</x:v>
      </x:c>
      <x:c r="M8" s="18" t="n">
        <x:f>K8*L8</x:f>
        <x:v>27.599999999999998</x:v>
      </x:c>
      <x:c r="N8" s="21" t="n">
        <x:f>(C8*'Ставки и оборудование'!C6+D8*'Ставки и оборудование'!C7+E8*'Ставки и оборудование'!C8+F8*'Ставки и оборудование'!C9+G8*'Ставки и оборудование'!C10+H8*'Ставки и оборудование'!C11+I8*'Ставки и оборудование'!C12+J8*'Ставки и оборудование'!C13)*(1+L8)</x:f>
        <x:v>169520</x:v>
      </x:c>
      <x:c r="O8" s="9" t="str">
        <x:v>1</x:v>
      </x:c>
      <x:c r="P8" s="9" t="n">
        <x:v>2</x:v>
      </x:c>
      <x:c r="Q8" s="18" t="n">
        <x:f>SUM(K8,M8)</x:f>
        <x:v>119.6</x:v>
      </x:c>
    </x:row>
    <x:row r="9" ht="44" customHeight="1">
      <x:c r="A9" s="10" t="n">
        <x:v>3</x:v>
      </x:c>
      <x:c r="B9" s="10" t="str">
        <x:v>Проверка идеи</x:v>
      </x:c>
      <x:c r="C9" s="14" t="n">
        <x:v>8</x:v>
      </x:c>
      <x:c r="D9" s="14" t="n">
        <x:v>8</x:v>
      </x:c>
      <x:c r="E9" s="14" t="n">
        <x:v>8</x:v>
      </x:c>
      <x:c r="F9" s="14" t="n">
        <x:v>40</x:v>
      </x:c>
      <x:c r="G9" s="14" t="n">
        <x:v>8</x:v>
      </x:c>
      <x:c r="H9" s="14" t="n">
        <x:v>0</x:v>
      </x:c>
      <x:c r="I9" s="14" t="n">
        <x:v>8</x:v>
      </x:c>
      <x:c r="J9" s="14" t="n">
        <x:v>0</x:v>
      </x:c>
      <x:c r="K9" s="14" t="n">
        <x:f>SUM(C9:J9)</x:f>
        <x:v>80</x:v>
      </x:c>
      <x:c r="L9" s="12" t="n">
        <x:v>0.25</x:v>
      </x:c>
      <x:c r="M9" s="17" t="n">
        <x:f>K9*L9</x:f>
        <x:v>20</x:v>
      </x:c>
      <x:c r="N9" s="20" t="n">
        <x:f>(C9*'Ставки и оборудование'!C6+D9*'Ставки и оборудование'!C7+E9*'Ставки и оборудование'!C8+F9*'Ставки и оборудование'!C9+G9*'Ставки и оборудование'!C10+H9*'Ставки и оборудование'!C11+I9*'Ставки и оборудование'!C12+J9*'Ставки и оборудование'!C13)*(1+L9)</x:f>
        <x:v>156000</x:v>
      </x:c>
      <x:c r="O9" s="10" t="str">
        <x:v>2</x:v>
      </x:c>
      <x:c r="P9" s="10" t="n">
        <x:v>2</x:v>
      </x:c>
      <x:c r="Q9" s="17" t="n">
        <x:f>SUM(K9,M9)</x:f>
        <x:v>100</x:v>
      </x:c>
    </x:row>
    <x:row r="10" ht="44" customHeight="1">
      <x:c r="A10" s="9" t="n">
        <x:v>4</x:v>
      </x:c>
      <x:c r="B10" s="9" t="str">
        <x:v>Разработка прототипа</x:v>
      </x:c>
      <x:c r="C10" s="15" t="n">
        <x:v>12</x:v>
      </x:c>
      <x:c r="D10" s="15" t="n">
        <x:v>8</x:v>
      </x:c>
      <x:c r="E10" s="15" t="n">
        <x:v>16</x:v>
      </x:c>
      <x:c r="F10" s="15" t="n">
        <x:v>16</x:v>
      </x:c>
      <x:c r="G10" s="15" t="n">
        <x:v>64</x:v>
      </x:c>
      <x:c r="H10" s="15" t="n">
        <x:v>16</x:v>
      </x:c>
      <x:c r="I10" s="15" t="n">
        <x:v>24</x:v>
      </x:c>
      <x:c r="J10" s="15" t="n">
        <x:v>0</x:v>
      </x:c>
      <x:c r="K10" s="15" t="n">
        <x:f>SUM(C10:J10)</x:f>
        <x:v>156</x:v>
      </x:c>
      <x:c r="L10" s="13" t="n">
        <x:v>0.2</x:v>
      </x:c>
      <x:c r="M10" s="18" t="n">
        <x:f>K10*L10</x:f>
        <x:v>31.200000000000003</x:v>
      </x:c>
      <x:c r="N10" s="21" t="n">
        <x:f>(C10*'Ставки и оборудование'!C6+D10*'Ставки и оборудование'!C7+E10*'Ставки и оборудование'!C8+F10*'Ставки и оборудование'!C9+G10*'Ставки и оборудование'!C10+H10*'Ставки и оборудование'!C11+I10*'Ставки и оборудование'!C12+J10*'Ставки и оборудование'!C13)*(1+L10)</x:f>
        <x:v>275520</x:v>
      </x:c>
      <x:c r="O10" s="9" t="str">
        <x:v>3</x:v>
      </x:c>
      <x:c r="P10" s="9" t="n">
        <x:v>4</x:v>
      </x:c>
      <x:c r="Q10" s="18" t="n">
        <x:f>SUM(K10,M10)</x:f>
        <x:v>187.2</x:v>
      </x:c>
    </x:row>
    <x:row r="11" ht="44" customHeight="1">
      <x:c r="A11" s="10" t="n">
        <x:v>5</x:v>
      </x:c>
      <x:c r="B11" s="10" t="str">
        <x:v>Полевой пилот и приёмка</x:v>
      </x:c>
      <x:c r="C11" s="14" t="n">
        <x:v>8</x:v>
      </x:c>
      <x:c r="D11" s="14" t="n">
        <x:v>20</x:v>
      </x:c>
      <x:c r="E11" s="14" t="n">
        <x:v>8</x:v>
      </x:c>
      <x:c r="F11" s="14" t="n">
        <x:v>20</x:v>
      </x:c>
      <x:c r="G11" s="14" t="n">
        <x:v>12</x:v>
      </x:c>
      <x:c r="H11" s="14" t="n">
        <x:v>8</x:v>
      </x:c>
      <x:c r="I11" s="14" t="n">
        <x:v>24</x:v>
      </x:c>
      <x:c r="J11" s="14" t="n">
        <x:v>4</x:v>
      </x:c>
      <x:c r="K11" s="14" t="n">
        <x:f>SUM(C11:J11)</x:f>
        <x:v>104</x:v>
      </x:c>
      <x:c r="L11" s="12" t="n">
        <x:v>0.3</x:v>
      </x:c>
      <x:c r="M11" s="17" t="n">
        <x:f>K11*L11</x:f>
        <x:v>31.2</x:v>
      </x:c>
      <x:c r="N11" s="20" t="n">
        <x:f>(C11*'Ставки и оборудование'!C6+D11*'Ставки и оборудование'!C7+E11*'Ставки и оборудование'!C8+F11*'Ставки и оборудование'!C9+G11*'Ставки и оборудование'!C10+H11*'Ставки и оборудование'!C11+I11*'Ставки и оборудование'!C12+J11*'Ставки и оборудование'!C13)*(1+L11)</x:f>
        <x:v>189280</x:v>
      </x:c>
      <x:c r="O11" s="10" t="str">
        <x:v>4 и доступный сезон</x:v>
      </x:c>
      <x:c r="P11" s="10" t="n">
        <x:v>4</x:v>
      </x:c>
      <x:c r="Q11" s="17" t="n">
        <x:f>SUM(K11,M11)</x:f>
        <x:v>135.2</x:v>
      </x:c>
    </x:row>
    <x:row r="12" ht="44" customHeight="1">
      <x:c r="A12" s="9" t="n">
        <x:v>6</x:v>
      </x:c>
      <x:c r="B12" s="9" t="str">
        <x:v>Расширение и передача</x:v>
      </x:c>
      <x:c r="C12" s="15" t="n">
        <x:v>8</x:v>
      </x:c>
      <x:c r="D12" s="15" t="n">
        <x:v>8</x:v>
      </x:c>
      <x:c r="E12" s="15" t="n">
        <x:v>8</x:v>
      </x:c>
      <x:c r="F12" s="15" t="n">
        <x:v>4</x:v>
      </x:c>
      <x:c r="G12" s="15" t="n">
        <x:v>8</x:v>
      </x:c>
      <x:c r="H12" s="15" t="n">
        <x:v>24</x:v>
      </x:c>
      <x:c r="I12" s="15" t="n">
        <x:v>12</x:v>
      </x:c>
      <x:c r="J12" s="15" t="n">
        <x:v>4</x:v>
      </x:c>
      <x:c r="K12" s="15" t="n">
        <x:f>SUM(C12:J12)</x:f>
        <x:v>76</x:v>
      </x:c>
      <x:c r="L12" s="13" t="n">
        <x:v>0.2</x:v>
      </x:c>
      <x:c r="M12" s="18" t="n">
        <x:f>K12*L12</x:f>
        <x:v>15.200000000000001</x:v>
      </x:c>
      <x:c r="N12" s="21" t="n">
        <x:f>(C12*'Ставки и оборудование'!C6+D12*'Ставки и оборудование'!C7+E12*'Ставки и оборудование'!C8+F12*'Ставки и оборудование'!C9+G12*'Ставки и оборудование'!C10+H12*'Ставки и оборудование'!C11+I12*'Ставки и оборудование'!C12+J12*'Ставки и оборудование'!C13)*(1+L12)</x:f>
        <x:v>131520</x:v>
      </x:c>
      <x:c r="O12" s="9" t="str">
        <x:v>5, положительное решение</x:v>
      </x:c>
      <x:c r="P12" s="9" t="n">
        <x:v>2</x:v>
      </x:c>
      <x:c r="Q12" s="18" t="n">
        <x:f>SUM(K12,M12)</x:f>
        <x:v>91.2</x:v>
      </x:c>
    </x:row>
    <x:row r="13" ht="44" customHeight="1">
      <x:c r="A13" s="10" t="n">
        <x:v>7</x:v>
      </x:c>
      <x:c r="B13" s="10" t="str">
        <x:v>Мониторинг и поддержка</x:v>
      </x:c>
      <x:c r="C13" s="14" t="n">
        <x:v>8</x:v>
      </x:c>
      <x:c r="D13" s="14" t="n">
        <x:v>8</x:v>
      </x:c>
      <x:c r="E13" s="14" t="n">
        <x:v>8</x:v>
      </x:c>
      <x:c r="F13" s="14" t="n">
        <x:v>12</x:v>
      </x:c>
      <x:c r="G13" s="14" t="n">
        <x:v>8</x:v>
      </x:c>
      <x:c r="H13" s="14" t="n">
        <x:v>8</x:v>
      </x:c>
      <x:c r="I13" s="14" t="n">
        <x:v>8</x:v>
      </x:c>
      <x:c r="J13" s="14" t="n">
        <x:v>0</x:v>
      </x:c>
      <x:c r="K13" s="14" t="n">
        <x:f>SUM(C13:J13)</x:f>
        <x:v>60</x:v>
      </x:c>
      <x:c r="L13" s="12" t="n">
        <x:v>0.25</x:v>
      </x:c>
      <x:c r="M13" s="17" t="n">
        <x:f>K13*L13</x:f>
        <x:v>15</x:v>
      </x:c>
      <x:c r="N13" s="20" t="n">
        <x:f>(C13*'Ставки и оборудование'!C6+D13*'Ставки и оборудование'!C7+E13*'Ставки и оборудование'!C8+F13*'Ставки и оборудование'!C9+G13*'Ставки и оборудование'!C10+H13*'Ставки и оборудование'!C11+I13*'Ставки и оборудование'!C12+J13*'Ставки и оборудование'!C13)*(1+L13)</x:f>
        <x:v>109000</x:v>
      </x:c>
      <x:c r="O13" s="10" t="str">
        <x:v>6</x:v>
      </x:c>
      <x:c r="P13" s="10" t="n">
        <x:v>4</x:v>
      </x:c>
      <x:c r="Q13" s="17" t="n">
        <x:f>SUM(K13,M13)</x:f>
        <x:v>75</x:v>
      </x:c>
    </x:row>
    <x:row r="14">
      <x:c r="A14" s="11" t="str"/>
      <x:c r="B14" s="11" t="str">
        <x:v>ИТОГО</x:v>
      </x:c>
      <x:c r="C14" s="16" t="n">
        <x:f>SUM(C7:C13)</x:f>
        <x:v>68</x:v>
      </x:c>
      <x:c r="D14" s="16" t="n">
        <x:f>SUM(D7:D13)</x:f>
        <x:v>80</x:v>
      </x:c>
      <x:c r="E14" s="16" t="n">
        <x:f>SUM(E7:E13)</x:f>
        <x:v>96</x:v>
      </x:c>
      <x:c r="F14" s="16" t="n">
        <x:f>SUM(F7:F13)</x:f>
        <x:v>116</x:v>
      </x:c>
      <x:c r="G14" s="16" t="n">
        <x:f>SUM(G7:G13)</x:f>
        <x:v>100</x:v>
      </x:c>
      <x:c r="H14" s="16" t="n">
        <x:f>SUM(H7:H13)</x:f>
        <x:v>56</x:v>
      </x:c>
      <x:c r="I14" s="16" t="n">
        <x:f>SUM(I7:I13)</x:f>
        <x:v>88</x:v>
      </x:c>
      <x:c r="J14" s="16" t="n">
        <x:f>SUM(J7:J13)</x:f>
        <x:v>20</x:v>
      </x:c>
      <x:c r="K14" s="16" t="n">
        <x:f>SUM(K7:K13)</x:f>
        <x:v>624</x:v>
      </x:c>
      <x:c r="L14" s="11"/>
      <x:c r="M14" s="19" t="n">
        <x:f>SUM(M7:M13)</x:f>
        <x:v>151.4</x:v>
      </x:c>
      <x:c r="N14" s="22" t="n">
        <x:f>SUM(N7:N13)</x:f>
        <x:v>1127800</x:v>
      </x:c>
      <x:c r="O14" s="11"/>
      <x:c r="P14" s="11"/>
      <x:c r="Q14" s="19" t="n">
        <x:f>SUM(Q7:Q13)</x:f>
        <x:v>775.4000000000001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 t="str">
        <x:v>Коды ролей, ставки и доступность: лист «Ставки и оборудование». Методы, сроки и риски: следующий лист.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D493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25" hidden="0" customWidth="1"/>
    <x:col min="2" max="2" width="30" hidden="0" customWidth="1"/>
    <x:col min="3" max="3" width="28.1299991607666" hidden="0" customWidth="1"/>
    <x:col min="4" max="4" width="10" hidden="0" customWidth="1"/>
    <x:col min="5" max="5" width="70" hidden="0" customWidth="1"/>
    <x:col min="6" max="6" width="65" hidden="0" customWidth="1"/>
    <x:col min="7" max="7" width="48.75" hidden="0" customWidth="1"/>
    <x:col min="8" max="8" width="51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Задание 4. Обоснования и риски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Периоды относительные. Сезон 2027 - внешний барьер, не резерв человеко-часов.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8" t="str">
        <x:v>№</x:v>
      </x:c>
      <x:c r="B6" s="8" t="str">
        <x:v>Этап</x:v>
      </x:c>
      <x:c r="C6" s="8" t="str">
        <x:v>Период</x:v>
      </x:c>
      <x:c r="D6" s="8" t="str">
        <x:v>Активные недели</x:v>
      </x:c>
      <x:c r="E6" s="8" t="str">
        <x:v>Метод и обоснование</x:v>
      </x:c>
      <x:c r="F6" s="8" t="str">
        <x:v>Риск применения ИИ и последствия</x:v>
      </x:c>
      <x:c r="G6" s="8" t="str">
        <x:v>Основание резерва</x:v>
      </x:c>
      <x:c r="H6" s="8" t="str">
        <x:v>Результат</x:v>
      </x:c>
    </x:row>
    <x:row r="7" ht="85" customHeight="1">
      <x:c r="A7" s="10" t="n">
        <x:v>1</x:v>
      </x:c>
      <x:c r="B7" s="10" t="str">
        <x:v>Анализ и согласование</x:v>
      </x:c>
      <x:c r="C7" s="10" t="str">
        <x:v>Недели 1-2</x:v>
      </x:c>
      <x:c r="D7" s="10" t="n">
        <x:v>2</x:v>
      </x:c>
      <x:c r="E7" s="10" t="str">
        <x:v>Экспертная декомпозиция: 2 интервью, обследование зоны, 1 сессия критериев и 1 цикл согласования.</x:v>
      </x:c>
      <x:c r="F7" s="10" t="str">
        <x:v>Цель обучения или пределы влажности определены неверно. Повторное согласование задержит начало работ; результаты проверки модели придётся пересмотреть.</x:v>
      </x:c>
      <x:c r="G7" s="10" t="str">
        <x:v>20%: уточнение показателей и один дополнительный цикл требований.</x:v>
      </x:c>
      <x:c r="H7" s="10" t="str">
        <x:v>Подписанные границы, паспорт данных и условия остановки.</x:v>
      </x:c>
    </x:row>
    <x:row r="8" ht="85" customHeight="1">
      <x:c r="A8" s="9" t="n">
        <x:v>2</x:v>
      </x:c>
      <x:c r="B8" s="9" t="str">
        <x:v>Данные и калибровка</x:v>
      </x:c>
      <x:c r="C8" s="9" t="str">
        <x:v>Недели 3-4; архив до сезона</x:v>
      </x:c>
      <x:c r="D8" s="9" t="n">
        <x:v>2</x:v>
      </x:c>
      <x:c r="E8" s="9" t="str">
        <x:v>Параметрическая оценка: инженер данных проверяет 4 схемы импорта по 6 ч и выполняет 16 ч общего контроля. Всего 40 ч. Агроном и аналитик моделей участвуют по 16 ч, тестировщик - 8 ч. Остальные часы приходятся на согласование.</x:v>
      </x:c>
      <x:c r="F8" s="9" t="str">
        <x:v>Нет журналов фактического полива или датчики несопоставимы. Обучение откладывается, объём пилота сокращается.</x:v>
      </x:c>
      <x:c r="G8" s="9" t="str">
        <x:v>30%: повторный импорт и калибровка. Ожидание сезона вынесено отдельно.</x:v>
      </x:c>
      <x:c r="H8" s="9" t="str">
        <x:v>Версионированный архив, единицы, права, отчёт пропусков.</x:v>
      </x:c>
    </x:row>
    <x:row r="9" ht="85" customHeight="1">
      <x:c r="A9" s="10" t="n">
        <x:v>3</x:v>
      </x:c>
      <x:c r="B9" s="10" t="str">
        <x:v>Проверка идеи</x:v>
      </x:c>
      <x:c r="C9" s="10" t="str">
        <x:v>Недели 5-6</x:v>
      </x:c>
      <x:c r="D9" s="10" t="n">
        <x:v>2</x:v>
      </x:c>
      <x:c r="E9" s="10" t="str">
        <x:v>Параметрическая оценка: аналитик моделей сравнивает 3 подхода по 8 ч и выделяет 16 ч на анализ ошибок. Всего 40 ч. Другие специалисты проверяют исходные данные и условия приёмки.</x:v>
      </x:c>
      <x:c r="F9" s="10" t="str">
        <x:v>Обучение использует сведения из будущего периода или модель уступает расчётным правилам. Потребуется повторная проверка либо отказ от обучения модели.</x:v>
      </x:c>
      <x:c r="G9" s="10" t="str">
        <x:v>25%: повторный проверка на более позднем периоде.</x:v>
      </x:c>
      <x:c r="H9" s="10" t="str">
        <x:v>Прогноз и правила сравниваются на отложенном периоде; решение о продолжении.</x:v>
      </x:c>
    </x:row>
    <x:row r="10" ht="85" customHeight="1">
      <x:c r="A10" s="9" t="n">
        <x:v>4</x:v>
      </x:c>
      <x:c r="B10" s="9" t="str">
        <x:v>Разработка прототипа</x:v>
      </x:c>
      <x:c r="C10" s="9" t="str">
        <x:v>Недели 7-10</x:v>
      </x:c>
      <x:c r="D10" s="9" t="n">
        <x:v>4</x:v>
      </x:c>
      <x:c r="E10" s="9" t="str">
        <x:v>Параметрическая оценка: разработчик реализует 8 функций по 6 ч и выполняет 16 ч подключения к другим частям программы. Всего 64 ч. Инженер данных, аналитик моделей и инженер эксплуатации участвуют по 16 ч, тестировщик - 24 ч.</x:v>
      </x:c>
      <x:c r="F10" s="9" t="str">
        <x:v>Версия модели не соответствует преобразованию датчиков. Возможны неверные дозы и откат.</x:v>
      </x:c>
      <x:c r="G10" s="9" t="str">
        <x:v>20%: исправления интерфейса и согласование контракта данных.</x:v>
      </x:c>
      <x:c r="H10" s="9" t="str">
        <x:v>Импорт данных, журнал полива, права доступа, история версий и отказ от расчёта при ошибочных данных.</x:v>
      </x:c>
    </x:row>
    <x:row r="11" ht="85" customHeight="1">
      <x:c r="A11" s="10" t="n">
        <x:v>5</x:v>
      </x:c>
      <x:c r="B11" s="10" t="str">
        <x:v>Полевой пилот и приёмка</x:v>
      </x:c>
      <x:c r="C11" s="10" t="str">
        <x:v>Сезон 2027; оценка после уборки</x:v>
      </x:c>
      <x:c r="D11" s="10" t="n">
        <x:v>4</x:v>
      </x:c>
      <x:c r="E11" s="10" t="str">
        <x:v>Экспертная декомпозиция: агроном 4 визита × 5 ч; тестировщик 6 протоколов × 4 ч; аналитик моделей 20 ч сопоставления опыта и контроля.</x:v>
      </x:c>
      <x:c r="F11" s="10" t="str">
        <x:v>Сдвиг погоды, малое число независимых зон, небезопасные рекомендации. Вывод об эффекте может остаться неопределённым.</x:v>
      </x:c>
      <x:c r="G11" s="10" t="str">
        <x:v>30%: повторные проверки; новый сезон не помещается в этот резерв.</x:v>
      </x:c>
      <x:c r="H11" s="10" t="str">
        <x:v>Согласованный отчёт воды, влажности, урожая и инцидентов; решение клиента.</x:v>
      </x:c>
    </x:row>
    <x:row r="12" ht="85" customHeight="1">
      <x:c r="A12" s="9" t="n">
        <x:v>6</x:v>
      </x:c>
      <x:c r="B12" s="9" t="str">
        <x:v>Расширение и передача</x:v>
      </x:c>
      <x:c r="C12" s="9" t="str">
        <x:v>2 недели после приёмки пилота</x:v>
      </x:c>
      <x:c r="D12" s="9" t="n">
        <x:v>2</x:v>
      </x:c>
      <x:c r="E12" s="9" t="str">
        <x:v>Параметрическая оценка: инженер эксплуатации выполняет резервное копирование, выпуск версии и проверку восстановления. На каждую операцию отводится 8 ч, всего 24 ч. Другие специалисты подключают зоны и обучают пользователей.</x:v>
      </x:c>
      <x:c r="F12" s="9" t="str">
        <x:v>Условия новой зоны отличаются от условий обучения. Без повторной калибровки модель может ошибаться; ввод такой зоны приостанавливают.</x:v>
      </x:c>
      <x:c r="G12" s="9" t="str">
        <x:v>20%: настройка зон и один откат.</x:v>
      </x:c>
      <x:c r="H12" s="9" t="str">
        <x:v>Регламент эксплуатации, роли, проверенное восстановление и обучение.</x:v>
      </x:c>
    </x:row>
    <x:row r="13" ht="85" customHeight="1">
      <x:c r="A13" s="10" t="n">
        <x:v>7</x:v>
      </x:c>
      <x:c r="B13" s="10" t="str">
        <x:v>Мониторинг и поддержка</x:v>
      </x:c>
      <x:c r="C13" s="10" t="str">
        <x:v>4 недели активной поддержки; далее соглашение об уровне обслуживания</x:v>
      </x:c>
      <x:c r="D13" s="10" t="n">
        <x:v>4</x:v>
      </x:c>
      <x:c r="E13" s="10" t="str">
        <x:v>Параметрическая оценка: 4 еженедельные проверки. Аналитик моделей участвует по 3 ч, всего 12 ч. Каждый из остальных технических специалистов участвует по 2 ч, всего 8 ч.</x:v>
      </x:c>
      <x:c r="F13" s="10" t="str">
        <x:v>Сезонный изменение условий и деградация датчика. Рост ошибок требует возврата к правилам и новой разметки.</x:v>
      </x:c>
      <x:c r="G13" s="10" t="str">
        <x:v>25%: разбор инцидента и контроль новой версии.</x:v>
      </x:c>
      <x:c r="H13" s="10" t="str">
        <x:v>Отчёт мониторинга, журнал изменений, решение о следующем сезоне.</x:v>
      </x:c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D493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.25" hidden="0" customWidth="1"/>
    <x:col min="2" max="2" width="80" hidden="0" customWidth="1"/>
    <x:col min="3" max="3" width="66.25" hidden="0" customWidth="1"/>
    <x:col min="4" max="4" width="27.5" hidden="0" customWidth="1"/>
    <x:col min="5" max="5" width="57.5" hidden="0" customWidth="1"/>
    <x:col min="6" max="6" width="38.7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Задание 5. Матрица документов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 t="str">
        <x:v>Договорный комплект проекта; документы по персональным данным применяются условно.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40" customHeight="1">
      <x:c r="A6" s="8" t="str">
        <x:v>Документ</x:v>
      </x:c>
      <x:c r="B6" s="8" t="str">
        <x:v>Суть и цель</x:v>
      </x:c>
      <x:c r="C6" s="8" t="str">
        <x:v>Применимость</x:v>
      </x:c>
      <x:c r="D6" s="8" t="str">
        <x:v>Основная роль</x:v>
      </x:c>
      <x:c r="E6" s="8" t="str">
        <x:v>Согласование и подпись</x:v>
      </x:c>
      <x:c r="F6" s="8" t="str">
        <x:v>Этап</x:v>
      </x:c>
    </x:row>
    <x:row r="7" ht="90" customHeight="1">
      <x:c r="A7" s="10" t="str">
        <x:v>Соглашение о конфиденциальности</x:v>
      </x:c>
      <x:c r="B7" s="10" t="str">
        <x:v>Защищает журналы полива, карты зон и экономику хозяйства. Устанавливает разрешённое использование, доступ и исключения из режима.</x:v>
      </x:c>
      <x:c r="C7" s="10" t="str">
        <x:v>Договорное условие при передаче закрытых сведений; не универсальная обязанность всех ИИ-проектов.</x:v>
      </x:c>
      <x:c r="D7" s="10" t="str">
        <x:v>Руководитель проекта</x:v>
      </x:c>
      <x:c r="E7" s="10" t="str">
        <x:v>Юрист проверяет; клиент и исполнитель подписывают.</x:v>
      </x:c>
      <x:c r="F7" s="10" t="str">
        <x:v>Этап 1, до передачи архива.</x:v>
      </x:c>
    </x:row>
    <x:row r="8" ht="90" customHeight="1">
      <x:c r="A8" s="9" t="str">
        <x:v>ТЗ и критерии приёмки</x:v>
      </x:c>
      <x:c r="B8" s="9" t="str">
        <x:v>Фиксирует зоны, формат датчиков, ограничения дозы и критерии модели и расчётных правил. Позволяет остановить проект, если данные или результаты не позволяют безопасное внедрение.</x:v>
      </x:c>
      <x:c r="C8" s="9" t="str">
        <x:v>Обязателен по выбранному процессу запуска проекта, приложение к договору.</x:v>
      </x:c>
      <x:c r="D8" s="9" t="str">
        <x:v>Технический руководитель</x:v>
      </x:c>
      <x:c r="E8" s="9" t="str">
        <x:v>Агроном и аналитик моделей согласуют показатели; юрист проверяет; клиент утверждает.</x:v>
      </x:c>
      <x:c r="F8" s="9" t="str">
        <x:v>Этап 1, до разработки; изменения через согласованный запрос.</x:v>
      </x:c>
    </x:row>
    <x:row r="9" ht="90" customHeight="1">
      <x:c r="A9" s="10" t="str">
        <x:v>Договор разработки и сопровождения</x:v>
      </x:c>
      <x:c r="B9" s="10" t="str">
        <x:v>Определяет этапы, цену, результаты, права на код и порядок оплаты. Разделяет ответственность за программу, агрономическое решение и действующее поливное оборудование.</x:v>
      </x:c>
      <x:c r="C9" s="10" t="str">
        <x:v>Основа отношений с реальным заказчиком; вид договора определяют стороны и юрист.</x:v>
      </x:c>
      <x:c r="D9" s="10" t="str">
        <x:v>Руководитель проекта</x:v>
      </x:c>
      <x:c r="E9" s="10" t="str">
        <x:v>Техруководитель даёт объём; юрист формулирует условия; стороны подписывают.</x:v>
      </x:c>
      <x:c r="F9" s="10" t="str">
        <x:v>После ТЗ, до оплачиваемых работ.</x:v>
      </x:c>
    </x:row>
    <x:row r="10" ht="90" customHeight="1">
      <x:c r="A10" s="9" t="str">
        <x:v>Соглашение о данных и лицензиях</x:v>
      </x:c>
      <x:c r="B10" s="9" t="str">
        <x:v>Описывает владельца архивов, цель обработки, сроки хранения и права на обученную модель и связанные файлы. Для метеоданных перечисляет поставщика и условия использования/публикации.</x:v>
      </x:c>
      <x:c r="C10" s="9" t="str">
        <x:v>Данные клиента и лицензия внешнего поставщика оформляются отдельно при разных владельцах.</x:v>
      </x:c>
      <x:c r="D10" s="9" t="str">
        <x:v>Инженер данных</x:v>
      </x:c>
      <x:c r="E10" s="9" t="str">
        <x:v>Аналитик моделей описывает производные данные; юрист проверяет права; владельцы дают разрешение.</x:v>
      </x:c>
      <x:c r="F10" s="9" t="str">
        <x:v>Этап 2 до импорта, повторно при смене поставщика.</x:v>
      </x:c>
    </x:row>
    <x:row r="11" ht="90" customHeight="1">
      <x:c r="A11" s="10" t="str">
        <x:v>Соглашение об уровне обслуживания и регламент эксплуатации</x:v>
      </x:c>
      <x:c r="B11" s="10" t="str">
        <x:v>Задаёт время формирования рекомендации, доступность в поливное окно, поддержку и восстановление. Обещания действуют только при исправных согласованных датчиках, но ошибка модели отслеживается отдельно.</x:v>
      </x:c>
      <x:c r="C11" s="10" t="str">
        <x:v>Обязателен для выбранного промышленного сервиса; не распространяется задним числом на учебный прототип.</x:v>
      </x:c>
      <x:c r="D11" s="10" t="str">
        <x:v>Инженер эксплуатации</x:v>
      </x:c>
      <x:c r="E11" s="10" t="str">
        <x:v>Техруководитель определяет измерение; юрист проверяет ограничения; клиент утверждает.</x:v>
      </x:c>
      <x:c r="F11" s="10" t="str">
        <x:v>До этапа 6, проверка восстановления перед вводом.</x:v>
      </x:c>
    </x:row>
    <x:row r="12" ht="90" customHeight="1">
      <x:c r="A12" s="9" t="str">
        <x:v>Политика применения ИИ</x:v>
      </x:c>
      <x:c r="B12" s="9" t="str">
        <x:v>Устанавливает ручное подтверждение, объяснение дозы, пределы и переход к правилам. Запрещает выдавать непроверенный прогноз за гарантию урожайности и использовать журнал для скрытого контроля работников.</x:v>
      </x:c>
      <x:c r="C12" s="9" t="str">
        <x:v>Внутренний документ проекта. Его содержание согласуют стороны с учётом фактического способа применения ИИ.</x:v>
      </x:c>
      <x:c r="D12" s="9" t="str">
        <x:v>Технический руководитель</x:v>
      </x:c>
      <x:c r="E12" s="9" t="str">
        <x:v>Агроном, руководитель проекта и клиент согласуют; юрист проверяет обязанности.</x:v>
      </x:c>
      <x:c r="F12" s="9" t="str">
        <x:v>До полевого этапа 5, обновление при новой модели.</x:v>
      </x:c>
    </x:row>
    <x:row r="13" ht="90" customHeight="1">
      <x:c r="A13" s="10" t="str">
        <x:v>Протокол полевого опыта и остановки</x:v>
      </x:c>
      <x:c r="B13" s="10" t="str">
        <x:v>Определяет опыт и контроль, измерители, погодные поправки и итоговую оценку урожая. Задаёт остановку рекомендаций при неисправных данных, нарушении дозы или агрономических ограничений.</x:v>
      </x:c>
      <x:c r="C13" s="10" t="str">
        <x:v>Обязателен для доказательства заявленной пользы в данном проекте.</x:v>
      </x:c>
      <x:c r="D13" s="10" t="str">
        <x:v>Агроном</x:v>
      </x:c>
      <x:c r="E13" s="10" t="str">
        <x:v>Аналитик моделей и тестировщик согласуют анализ; владелец хозяйства утверждает.</x:v>
      </x:c>
      <x:c r="F13" s="10" t="str">
        <x:v>До сезона пилота и до первого опытного решения.</x:v>
      </x:c>
    </x:row>
    <x:row r="14" ht="90" customHeight="1">
      <x:c r="A14" s="9" t="str">
        <x:v>Поручение обработки персональных данных</x:v>
      </x:c>
      <x:c r="B14" s="9" t="str">
        <x:v>Если подрядчик обрабатывает персональные данные пользователей, документ задаёт состав, операции, цели и защиту. Он отделяется от прав на агрономические данные и от соглашения о конфиденциальности.</x:v>
      </x:c>
      <x:c r="C14" s="9" t="str">
        <x:v>Условно: только при обработке ПД по поручению оператора; проверить ч.3 ст.6 152-ФЗ. Согласие не объявляется единственным возможным правовым основанием.</x:v>
      </x:c>
      <x:c r="D14" s="9" t="str">
        <x:v>Юрист</x:v>
      </x:c>
      <x:c r="E14" s="9" t="str">
        <x:v>Клиент как оператор определяет основание; инженер данных описывает потоки; стороны оформляют.</x:v>
      </x:c>
      <x:c r="F14" s="9" t="str">
        <x:v>До создания именных аккаунтов/журналов; в синтетическом CSV ПД нет.</x:v>
      </x:c>
    </x:row>
    <x:row r="15" ht="90" customHeight="1">
      <x:c r="A15" s="10" t="str">
        <x:v>Политика ПД и меры защиты</x:v>
      </x:c>
      <x:c r="B15" s="10" t="str">
        <x:v>Для промышленной версии с именными аккаунтами описывает цели, сроки, доступ и удаление данных. Уведомление регулятора, локализацию и исключения проверяют по фактической схеме отдельно.</x:v>
      </x:c>
      <x:c r="C15" s="10" t="str">
        <x:v>Условно по составу ПД и роли оператора; почвенные датчики сами по себе не биометрия.</x:v>
      </x:c>
      <x:c r="D15" s="10" t="str">
        <x:v>Клиент как оператор ПД</x:v>
      </x:c>
      <x:c r="E15" s="10" t="str">
        <x:v>Юрист проверяет применимость; эксплуатация внедряет меры; руководитель проекта контролирует.</x:v>
      </x:c>
      <x:c r="F15" s="10" t="str">
        <x:v>До запуска именных аккаунтов.</x:v>
      </x:c>
    </x:row>
    <x:row r="16" ht="90" customHeight="1">
      <x:c r="A16" s="9" t="str">
        <x:v>Акт приёмки и передача прав</x:v>
      </x:c>
      <x:c r="B16" s="9" t="str">
        <x:v>Фиксирует результаты согласованных тестов, версии программы и документации, переданные доступы и права. Подписание акта не означает автоматического доказательства полевой эффективности вне испытанного объёма.</x:v>
      </x:c>
      <x:c r="C16" s="9" t="str">
        <x:v>Обязателен по договорному процессу при завершении соответствующего этапа.</x:v>
      </x:c>
      <x:c r="D16" s="9" t="str">
        <x:v>Руководитель проекта</x:v>
      </x:c>
      <x:c r="E16" s="9" t="str">
        <x:v>тестировщик и агроном подтверждают протокол; техруководитель комплектность; клиент подписывает.</x:v>
      </x:c>
      <x:c r="F16" s="9" t="str">
        <x:v>По завершении этапов 3, 4 и 5/6 согласно договору.</x:v>
      </x:c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D493A"/>
  </x:sheetPr>
  <x:sheetViews>
    <x:sheetView showGridLines="0" workbookViewId="0">
      <x:pane ySplit="29" topLeftCell="A30" activePane="bottomLeft" state="frozen"/>
    </x:sheetView>
  </x:sheetViews>
  <x:sheetFormatPr defaultRowHeight="15"/>
  <x:cols>
    <x:col min="1" max="1" width="59.380001068115234" hidden="0" customWidth="1"/>
    <x:col min="2" max="2" width="25" hidden="0" customWidth="1"/>
    <x:col min="3" max="3" width="28.1299991607666" hidden="0" customWidth="1"/>
    <x:col min="4" max="4" width="26.8799991607666" hidden="0" customWidth="1"/>
    <x:col min="5" max="5" width="22.5" hidden="0" customWidth="1"/>
    <x:col min="6" max="6" width="27.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Экономика расширения AgroPlan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 t="str">
        <x:v>Учебный сценарий. Изменяемые входы синие. Эффект только после полевой проверки.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40" customHeight="1">
      <x:c r="A6" s="9" t="str">
        <x:v>Площадь расширения, га</x:v>
      </x:c>
      <x:c r="B6" s="26" t="n">
        <x:v>80</x:v>
      </x:c>
      <x:c r="C6" s="9" t="str">
        <x:v>Допущение</x:v>
      </x:c>
      <x:c r="D6" s="2"/>
      <x:c r="E6" s="2"/>
      <x:c r="F6" s="2"/>
    </x:row>
    <x:row r="7" ht="40" customHeight="1">
      <x:c r="A7" s="9" t="str">
        <x:v>Базовая подача, м³/га/сезон</x:v>
      </x:c>
      <x:c r="B7" s="26" t="n">
        <x:v>4000</x:v>
      </x:c>
      <x:c r="C7" s="9" t="str">
        <x:v>Допущение: 400 мм</x:v>
      </x:c>
      <x:c r="D7" s="2"/>
      <x:c r="E7" s="2"/>
      <x:c r="F7" s="2"/>
    </x:row>
    <x:row r="8" ht="40" customHeight="1">
      <x:c r="A8" s="9" t="str">
        <x:v>Снижение расхода</x:v>
      </x:c>
      <x:c r="B8" s="29" t="n">
        <x:v>0.2</x:v>
      </x:c>
      <x:c r="C8" s="9" t="str">
        <x:v>Допущение</x:v>
      </x:c>
      <x:c r="D8" s="2"/>
      <x:c r="E8" s="2"/>
      <x:c r="F8" s="2"/>
    </x:row>
    <x:row r="9" ht="40" customHeight="1">
      <x:c r="A9" s="9" t="str">
        <x:v>Сокращаемые затраты, руб./м³</x:v>
      </x:c>
      <x:c r="B9" s="26" t="n">
        <x:v>12</x:v>
      </x:c>
      <x:c r="C9" s="9" t="str">
        <x:v>Вода и подача, без двойного счёта</x:v>
      </x:c>
      <x:c r="D9" s="2"/>
      <x:c r="E9" s="2"/>
      <x:c r="F9" s="2"/>
    </x:row>
    <x:row r="10" ht="40" customHeight="1">
      <x:c r="A10" s="9" t="str">
        <x:v>Обслуживание, руб./год</x:v>
      </x:c>
      <x:c r="B10" s="26" t="n">
        <x:v>96000</x:v>
      </x:c>
      <x:c r="C10" s="9" t="str">
        <x:v>60 тыс. поддержка +12 тыс. данные +24 тыс. измерители</x:v>
      </x:c>
      <x:c r="D10" s="2"/>
      <x:c r="E10" s="2"/>
      <x:c r="F10" s="2"/>
    </x:row>
    <x:row r="11" ht="40" customHeight="1">
      <x:c r="A11" s="9" t="str">
        <x:v>Период расчёта, полных сезонов</x:v>
      </x:c>
      <x:c r="B11" s="26" t="n">
        <x:v>3</x:v>
      </x:c>
      <x:c r="C11" s="9" t="str">
        <x:v>Допущение</x:v>
      </x:c>
      <x:c r="D11" s="2"/>
      <x:c r="E11" s="2"/>
      <x:c r="F11" s="2"/>
    </x:row>
    <x:row r="12" ht="40" customHeight="1">
      <x:c r="A12" s="9" t="str">
        <x:v>Первый полный сезон</x:v>
      </x:c>
      <x:c r="B12" s="32" t="n">
        <x:v>2028</x:v>
      </x:c>
      <x:c r="C12" s="9" t="str">
        <x:v>После пилота 2027</x:v>
      </x:c>
      <x:c r="D12" s="2"/>
      <x:c r="E12" s="2"/>
      <x:c r="F12" s="2"/>
    </x:row>
    <x:row r="13">
      <x:c r="A13" s="2"/>
      <x:c r="B13" s="27"/>
      <x:c r="C13" s="2"/>
      <x:c r="D13" s="2"/>
      <x:c r="E13" s="2"/>
      <x:c r="F13" s="2"/>
    </x:row>
    <x:row r="14" ht="34" customHeight="1">
      <x:c r="A14" s="9" t="str">
        <x:v>Базовый объём, м³/сезон</x:v>
      </x:c>
      <x:c r="B14" s="27" t="n">
        <x:f>IF(COUNT(B6:B7)&lt;2,"нет данных",B6*B7)</x:f>
        <x:v>320000</x:v>
      </x:c>
      <x:c r="C14" s="2"/>
      <x:c r="D14" s="2"/>
      <x:c r="E14" s="2"/>
      <x:c r="F14" s="2"/>
    </x:row>
    <x:row r="15" ht="34" customHeight="1">
      <x:c r="A15" s="9"/>
      <x:c r="B15" s="27"/>
      <x:c r="C15" s="2"/>
      <x:c r="D15" s="2"/>
      <x:c r="E15" s="2"/>
      <x:c r="F15" s="2"/>
    </x:row>
    <x:row r="16" ht="34" customHeight="1">
      <x:c r="A16" s="9" t="str">
        <x:v>Экономия, м³/сезон</x:v>
      </x:c>
      <x:c r="B16" s="27" t="n">
        <x:f>IF(COUNT(B14,B8)&lt;2,"нет данных",B14*B8)</x:f>
        <x:v>64000</x:v>
      </x:c>
      <x:c r="C16" s="2"/>
      <x:c r="D16" s="2"/>
      <x:c r="E16" s="2"/>
      <x:c r="F16" s="2"/>
    </x:row>
    <x:row r="17" ht="34" customHeight="1">
      <x:c r="A17" s="9" t="str">
        <x:v>Денежная экономия, руб./сезон</x:v>
      </x:c>
      <x:c r="B17" s="27" t="n">
        <x:f>IF(COUNT(B16,B9)&lt;2,"нет данных",B16*B9)</x:f>
        <x:v>768000</x:v>
      </x:c>
      <x:c r="C17" s="2"/>
      <x:c r="D17" s="2"/>
      <x:c r="E17" s="2"/>
      <x:c r="F17" s="2"/>
    </x:row>
    <x:row r="18" ht="34" customHeight="1">
      <x:c r="A18" s="9" t="str">
        <x:v>Чистый эффект, руб./сезон</x:v>
      </x:c>
      <x:c r="B18" s="27" t="n">
        <x:f>IF(COUNT(B17,B10)&lt;2,"нет данных",B17-B10)</x:f>
        <x:v>672000</x:v>
      </x:c>
      <x:c r="C18" s="2"/>
      <x:c r="D18" s="2"/>
      <x:c r="E18" s="2"/>
      <x:c r="F18" s="2"/>
    </x:row>
    <x:row r="19" ht="34" customHeight="1">
      <x:c r="A19" s="9" t="str">
        <x:v>Инвестиции, руб.</x:v>
      </x:c>
      <x:c r="B19" s="33" t="n">
        <x:f>'План и часы'!N14+'Ставки и оборудование'!D25</x:f>
        <x:v>1413800</x:v>
      </x:c>
      <x:c r="C19" s="2" t="str">
        <x:v>Работы и оборудование, без НДС</x:v>
      </x:c>
      <x:c r="D19" s="2"/>
      <x:c r="E19" s="2"/>
      <x:c r="F19" s="2"/>
    </x:row>
    <x:row r="20" ht="34" customHeight="1">
      <x:c r="A20" s="9" t="str">
        <x:v>Простая окупаемость, сезонов</x:v>
      </x:c>
      <x:c r="B20" s="30" t="n">
        <x:f>IF(COUNT(B18:B19)&lt;2,"нет данных",IF(B18&gt;0,B19/B18,"не окупается"))</x:f>
        <x:v>2.103869047619048</x:v>
      </x:c>
      <x:c r="C20" s="2"/>
      <x:c r="D20" s="2"/>
      <x:c r="E20" s="2"/>
      <x:c r="F20" s="2"/>
    </x:row>
    <x:row r="21" ht="34" customHeight="1">
      <x:c r="A21" s="9" t="str">
        <x:v>Рентабельность за заданный период</x:v>
      </x:c>
      <x:c r="B21" s="31" t="n">
        <x:f>IF(COUNT(B18:B19,B11)&lt;3,"нет данных",IF(B19&gt;0,(B18*B11-B19)/B19,"нет инвестиций"))</x:f>
        <x:v>0.4259442636865186</x:v>
      </x:c>
      <x:c r="C21" s="2"/>
      <x:c r="D21" s="2"/>
      <x:c r="E21" s="2"/>
      <x:c r="F21" s="2"/>
    </x:row>
    <x:row r="22" ht="34" customHeight="1">
      <x:c r="A22" s="9" t="str">
        <x:v>Минимальная доля экономии для положительного эффекта</x:v>
      </x:c>
      <x:c r="B22" s="31" t="n">
        <x:f>IF(COUNT(B14,B9,B10)&lt;3,"нет данных",IF(B14*B9&gt;0,B10/(B14*B9),"нет цены/объёма"))</x:f>
        <x:v>0.025</x:v>
      </x:c>
      <x:c r="C22" s="2"/>
      <x:c r="D22" s="2"/>
      <x:c r="E22" s="2"/>
      <x:c r="F22" s="2"/>
    </x:row>
    <x:row r="23" ht="34" customHeight="1">
      <x:c r="A23" s="9" t="str">
        <x:v>Минимальная стоимость ресурса для положительного эффекта</x:v>
      </x:c>
      <x:c r="B23" s="30" t="n">
        <x:f>IF(COUNT(B16,B10)&lt;2,"нет данных",IF(B16&gt;0,B10/B16,"нет экономии"))</x:f>
        <x:v>1.5</x:v>
      </x:c>
      <x:c r="C23" s="2"/>
      <x:c r="D23" s="2"/>
      <x:c r="E23" s="2"/>
      <x:c r="F23" s="2"/>
    </x:row>
    <x:row r="24" ht="34" customHeight="1">
      <x:c r="A24" s="9" t="str">
        <x:v>Возврат в целых продуктивных сезонах</x:v>
      </x:c>
      <x:c r="B24" s="27" t="n">
        <x:f>IF(COUNT(B20)&lt;1,"не окупается / нет данных",ROUNDUP(B20,0))</x:f>
        <x:v>3</x:v>
      </x:c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 t="str">
        <x:v>Входы - паспорт проекта. 12 руб./м³ не является опубликованным тарифом.</x:v>
      </x:c>
      <x:c r="B26" s="2"/>
      <x:c r="C26" s="2"/>
      <x:c r="D26" s="2"/>
      <x:c r="E26" s="2"/>
      <x:c r="F26" s="2"/>
    </x:row>
    <x:row r="27">
      <x:c r="A27" s="2" t="str">
        <x:v>Без налогов, кредита, дисконтирования. Пауза до сезона не включена в простую окупаемость.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 ht="40" customHeight="1">
      <x:c r="A29" s="8" t="str">
        <x:v>Год</x:v>
      </x:c>
      <x:c r="B29" s="8" t="str">
        <x:v>Инвестиции, руб.</x:v>
      </x:c>
      <x:c r="C29" s="8" t="str">
        <x:v>Экономия, руб.</x:v>
      </x:c>
      <x:c r="D29" s="8" t="str">
        <x:v>Обслуживание, руб.</x:v>
      </x:c>
      <x:c r="E29" s="8" t="str">
        <x:v>Поток, руб.</x:v>
      </x:c>
      <x:c r="F29" s="8" t="str">
        <x:v>Накопленный поток, руб.</x:v>
      </x:c>
    </x:row>
    <x:row r="30" ht="36" customHeight="1">
      <x:c r="A30" s="10" t="n">
        <x:f>B12-1</x:f>
        <x:v>2027</x:v>
      </x:c>
      <x:c r="B30" s="34" t="n">
        <x:f>-B19</x:f>
        <x:v>-1413800</x:v>
      </x:c>
      <x:c r="C30" s="34" t="n">
        <x:v>0</x:v>
      </x:c>
      <x:c r="D30" s="34" t="n">
        <x:v>0</x:v>
      </x:c>
      <x:c r="E30" s="34" t="n">
        <x:f>SUM(B30:D30)</x:f>
        <x:v>-1413800</x:v>
      </x:c>
      <x:c r="F30" s="34" t="n">
        <x:f>E30</x:f>
        <x:v>-1413800</x:v>
      </x:c>
    </x:row>
    <x:row r="31" ht="36" customHeight="1">
      <x:c r="A31" s="9" t="n">
        <x:f>A30+1</x:f>
        <x:v>2028</x:v>
      </x:c>
      <x:c r="B31" s="35" t="n">
        <x:v>0</x:v>
      </x:c>
      <x:c r="C31" s="35" t="n">
        <x:f>$B$17</x:f>
        <x:v>768000</x:v>
      </x:c>
      <x:c r="D31" s="35" t="n">
        <x:f>-$B$10</x:f>
        <x:v>-96000</x:v>
      </x:c>
      <x:c r="E31" s="35" t="n">
        <x:f>IF(COUNT(B31:D31)&lt;3,"нет данных",SUM(B31:D31))</x:f>
        <x:v>672000</x:v>
      </x:c>
      <x:c r="F31" s="35" t="n">
        <x:f>IF(COUNT(F30,E31)&lt;2,"нет данных",F30+E31)</x:f>
        <x:v>-741800</x:v>
      </x:c>
    </x:row>
    <x:row r="32" ht="36" customHeight="1">
      <x:c r="A32" s="10" t="n">
        <x:f>A31+1</x:f>
        <x:v>2029</x:v>
      </x:c>
      <x:c r="B32" s="34" t="n">
        <x:v>0</x:v>
      </x:c>
      <x:c r="C32" s="34" t="n">
        <x:f>$B$17</x:f>
        <x:v>768000</x:v>
      </x:c>
      <x:c r="D32" s="34" t="n">
        <x:f>-$B$10</x:f>
        <x:v>-96000</x:v>
      </x:c>
      <x:c r="E32" s="34" t="n">
        <x:f>IF(COUNT(B32:D32)&lt;3,"нет данных",SUM(B32:D32))</x:f>
        <x:v>672000</x:v>
      </x:c>
      <x:c r="F32" s="34" t="n">
        <x:f>IF(COUNT(F31,E32)&lt;2,"нет данных",F31+E32)</x:f>
        <x:v>-69800</x:v>
      </x:c>
    </x:row>
    <x:row r="33" ht="36" customHeight="1">
      <x:c r="A33" s="9" t="n">
        <x:f>A32+1</x:f>
        <x:v>2030</x:v>
      </x:c>
      <x:c r="B33" s="35" t="n">
        <x:v>0</x:v>
      </x:c>
      <x:c r="C33" s="35" t="n">
        <x:f>$B$17</x:f>
        <x:v>768000</x:v>
      </x:c>
      <x:c r="D33" s="35" t="n">
        <x:f>-$B$10</x:f>
        <x:v>-96000</x:v>
      </x:c>
      <x:c r="E33" s="35" t="n">
        <x:f>IF(COUNT(B33:D33)&lt;3,"нет данных",SUM(B33:D33))</x:f>
        <x:v>672000</x:v>
      </x:c>
      <x:c r="F33" s="35" t="n">
        <x:f>IF(COUNT(F32,E33)&lt;2,"нет данных",F32+E33)</x:f>
        <x:v>602200</x:v>
      </x:c>
    </x:row>
    <x:row r="34" ht="36" customHeight="1">
      <x:c r="A34" s="10" t="n">
        <x:f>A33+1</x:f>
        <x:v>2031</x:v>
      </x:c>
      <x:c r="B34" s="34" t="n">
        <x:v>0</x:v>
      </x:c>
      <x:c r="C34" s="34" t="n">
        <x:f>$B$17</x:f>
        <x:v>768000</x:v>
      </x:c>
      <x:c r="D34" s="34" t="n">
        <x:f>-$B$10</x:f>
        <x:v>-96000</x:v>
      </x:c>
      <x:c r="E34" s="34" t="n">
        <x:f>IF(COUNT(B34:D34)&lt;3,"нет данных",SUM(B34:D34))</x:f>
        <x:v>672000</x:v>
      </x:c>
      <x:c r="F34" s="34" t="n">
        <x:f>IF(COUNT(F33,E34)&lt;2,"нет данных",F33+E34)</x:f>
        <x:v>1274200</x:v>
      </x:c>
    </x:row>
    <x:row r="35" ht="36" customHeight="1">
      <x:c r="A35" s="9" t="n">
        <x:f>A34+1</x:f>
        <x:v>2032</x:v>
      </x:c>
      <x:c r="B35" s="35" t="n">
        <x:v>0</x:v>
      </x:c>
      <x:c r="C35" s="35" t="n">
        <x:f>$B$17</x:f>
        <x:v>768000</x:v>
      </x:c>
      <x:c r="D35" s="35" t="n">
        <x:f>-$B$10</x:f>
        <x:v>-96000</x:v>
      </x:c>
      <x:c r="E35" s="35" t="n">
        <x:f>IF(COUNT(B35:D35)&lt;3,"нет данных",SUM(B35:D35))</x:f>
        <x:v>672000</x:v>
      </x:c>
      <x:c r="F35" s="35" t="n">
        <x:f>IF(COUNT(F34,E35)&lt;2,"нет данных",F34+E35)</x:f>
        <x:v>1946200</x:v>
      </x:c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</x:sheetData>
  <x:conditionalFormatting sqref="B18:B18">
    <x:cfRule type="cellIs" dxfId="0" priority="1" operator="lessThanOrEqual">
      <x:formula>0</x:formula>
    </x:cfRule>
  </x:conditionalFormatting>
  <x:dataValidations count="3">
    <x:dataValidation type="decimal" operator="greaterThan" sqref="B6:B7">
      <x:formula1>0</x:formula1>
    </x:dataValidation>
    <x:dataValidation type="decimal" operator="between" sqref="B8">
      <x:formula1>0</x:formula1>
      <x:formula2>1</x:formula2>
    </x:dataValidation>
    <x:dataValidation type="decimal" operator="greaterThanOrEqual" sqref="B9:B10">
      <x:formula1>0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D493A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33.130001068115234" hidden="0" customWidth="1"/>
    <x:col min="2" max="2" width="40" hidden="0" customWidth="1"/>
    <x:col min="3" max="3" width="16.8799991607666" hidden="0" customWidth="1"/>
    <x:col min="4" max="4" width="18.1299991607666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Учебные ставки и дополнительные закупки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 t="str">
        <x:v>Все цены - допущения без НДС. Реальные котировки и ресурсный календарь не получены.</x:v>
      </x:c>
      <x:c r="B4" s="2"/>
      <x:c r="C4" s="2"/>
      <x:c r="D4" s="2"/>
    </x:row>
    <x:row r="5" ht="40" customHeight="1">
      <x:c r="A5" s="8" t="str">
        <x:v>Код роли</x:v>
      </x:c>
      <x:c r="B5" s="8" t="str">
        <x:v>Роль</x:v>
      </x:c>
      <x:c r="C5" s="8" t="str">
        <x:v>руб./ч</x:v>
      </x:c>
      <x:c r="D5" s="8" t="str">
        <x:v>ч./активную неделю</x:v>
      </x:c>
    </x:row>
    <x:row r="6" ht="35" customHeight="1">
      <x:c r="A6" s="10" t="str">
        <x:v>РП</x:v>
      </x:c>
      <x:c r="B6" s="10" t="str">
        <x:v>Руководитель проекта</x:v>
      </x:c>
      <x:c r="C6" s="25" t="n">
        <x:v>1400</x:v>
      </x:c>
      <x:c r="D6" s="23" t="n">
        <x:v>10</x:v>
      </x:c>
    </x:row>
    <x:row r="7" ht="35" customHeight="1">
      <x:c r="A7" s="9" t="str">
        <x:v>АГ</x:v>
      </x:c>
      <x:c r="B7" s="9" t="str">
        <x:v>Агроном</x:v>
      </x:c>
      <x:c r="C7" s="26" t="n">
        <x:v>1200</x:v>
      </x:c>
      <x:c r="D7" s="24" t="n">
        <x:v>12</x:v>
      </x:c>
    </x:row>
    <x:row r="8" ht="35" customHeight="1">
      <x:c r="A8" s="10" t="str">
        <x:v>ИД</x:v>
      </x:c>
      <x:c r="B8" s="10" t="str">
        <x:v>Инженер данных</x:v>
      </x:c>
      <x:c r="C8" s="25" t="n">
        <x:v>1400</x:v>
      </x:c>
      <x:c r="D8" s="23" t="n">
        <x:v>28</x:v>
      </x:c>
    </x:row>
    <x:row r="9" ht="35" customHeight="1">
      <x:c r="A9" s="9" t="str">
        <x:v>АМ</x:v>
      </x:c>
      <x:c r="B9" s="9" t="str">
        <x:v>Аналитик моделей</x:v>
      </x:c>
      <x:c r="C9" s="26" t="n">
        <x:v>1800</x:v>
      </x:c>
      <x:c r="D9" s="24" t="n">
        <x:v>28</x:v>
      </x:c>
    </x:row>
    <x:row r="10" ht="35" customHeight="1">
      <x:c r="A10" s="10" t="str">
        <x:v>РМ</x:v>
      </x:c>
      <x:c r="B10" s="10" t="str">
        <x:v>Разработчик модели и интерфейса</x:v>
      </x:c>
      <x:c r="C10" s="25" t="n">
        <x:v>1600</x:v>
      </x:c>
      <x:c r="D10" s="23" t="n">
        <x:v>24</x:v>
      </x:c>
    </x:row>
    <x:row r="11" ht="35" customHeight="1">
      <x:c r="A11" s="9" t="str">
        <x:v>ЭК</x:v>
      </x:c>
      <x:c r="B11" s="9" t="str">
        <x:v>Инженер эксплуатации</x:v>
      </x:c>
      <x:c r="C11" s="26" t="n">
        <x:v>1600</x:v>
      </x:c>
      <x:c r="D11" s="24" t="n">
        <x:v>16</x:v>
      </x:c>
    </x:row>
    <x:row r="12" ht="35" customHeight="1">
      <x:c r="A12" s="10" t="str">
        <x:v>ТЕСТ</x:v>
      </x:c>
      <x:c r="B12" s="10" t="str">
        <x:v>Тестировщик</x:v>
      </x:c>
      <x:c r="C12" s="25" t="n">
        <x:v>1000</x:v>
      </x:c>
      <x:c r="D12" s="23" t="n">
        <x:v>16</x:v>
      </x:c>
    </x:row>
    <x:row r="13" ht="35" customHeight="1">
      <x:c r="A13" s="9" t="str">
        <x:v>ЮР</x:v>
      </x:c>
      <x:c r="B13" s="9" t="str">
        <x:v>Юрист</x:v>
      </x:c>
      <x:c r="C13" s="26" t="n">
        <x:v>1800</x:v>
      </x:c>
      <x:c r="D13" s="24" t="n">
        <x:v>8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 ht="40" customHeight="1">
      <x:c r="A19" s="8" t="str">
        <x:v>Оборудование/работы</x:v>
      </x:c>
      <x:c r="B19" s="8" t="str">
        <x:v>Количество</x:v>
      </x:c>
      <x:c r="C19" s="8" t="str">
        <x:v>руб./ед.</x:v>
      </x:c>
      <x:c r="D19" s="8" t="str">
        <x:v>Стоимость, руб.</x:v>
      </x:c>
    </x:row>
    <x:row r="20" ht="50" customHeight="1">
      <x:c r="A20" s="10" t="str">
        <x:v>16 датчиков, состав условный</x:v>
      </x:c>
      <x:c r="B20" s="23" t="n">
        <x:v>16</x:v>
      </x:c>
      <x:c r="C20" s="25" t="n">
        <x:v>6000</x:v>
      </x:c>
      <x:c r="D20" s="20" t="n">
        <x:f>B20*C20</x:f>
        <x:v>96000</x:v>
      </x:c>
    </x:row>
    <x:row r="21" ht="50" customHeight="1">
      <x:c r="A21" s="9" t="str">
        <x:v>Шлюз и локальный регистратор</x:v>
      </x:c>
      <x:c r="B21" s="24" t="n">
        <x:v>1</x:v>
      </x:c>
      <x:c r="C21" s="26" t="n">
        <x:v>45000</x:v>
      </x:c>
      <x:c r="D21" s="21" t="n">
        <x:f>B21*C21</x:f>
        <x:v>45000</x:v>
      </x:c>
    </x:row>
    <x:row r="22" ht="50" customHeight="1">
      <x:c r="A22" s="10" t="str">
        <x:v>Метеоузел</x:v>
      </x:c>
      <x:c r="B22" s="23" t="n">
        <x:v>1</x:v>
      </x:c>
      <x:c r="C22" s="25" t="n">
        <x:v>35000</x:v>
      </x:c>
      <x:c r="D22" s="20" t="n">
        <x:f>B22*C22</x:f>
        <x:v>35000</x:v>
      </x:c>
    </x:row>
    <x:row r="23" ht="50" customHeight="1">
      <x:c r="A23" s="9" t="str">
        <x:v>Четыре узла учёта расхода</x:v>
      </x:c>
      <x:c r="B23" s="24" t="n">
        <x:v>4</x:v>
      </x:c>
      <x:c r="C23" s="26" t="n">
        <x:v>15000</x:v>
      </x:c>
      <x:c r="D23" s="21" t="n">
        <x:f>B23*C23</x:f>
        <x:v>60000</x:v>
      </x:c>
    </x:row>
    <x:row r="24" ht="50" customHeight="1">
      <x:c r="A24" s="10" t="str">
        <x:v>Монтаж и обследование почв</x:v>
      </x:c>
      <x:c r="B24" s="23" t="n">
        <x:v>1</x:v>
      </x:c>
      <x:c r="C24" s="25" t="n">
        <x:v>50000</x:v>
      </x:c>
      <x:c r="D24" s="20" t="n">
        <x:f>B24*C24</x:f>
        <x:v>50000</x:v>
      </x:c>
    </x:row>
    <x:row r="25">
      <x:c r="A25" s="2" t="str">
        <x:v>ИТОГО</x:v>
      </x:c>
      <x:c r="B25" s="2"/>
      <x:c r="C25" s="27"/>
      <x:c r="D25" s="27" t="n">
        <x:f>SUM(D20:D24)</x:f>
        <x:v>286000</x:v>
      </x:c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 t="str">
        <x:v>16 датчиков и четыре зоны - предварительная комплектация. Репрезентативность уточняет агроном.</x:v>
      </x:c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</x:sheetData>
  <x:pageMargins left="0.7" right="0.7" top="0.75" bottom="0.75" header="0.3" footer="0.3"/>
</x:worksheet>
</file>
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cc7e043e7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одели DEV" sheetId="1" r:id="Rbd03e7d1abc144ac"/>
    <x:sheet xmlns:r="http://schemas.openxmlformats.org/officeDocument/2006/relationships" name="FINAL150" sheetId="2" r:id="R0756741f2ecc4d31"/>
    <x:sheet xmlns:r="http://schemas.openxmlformats.org/officeDocument/2006/relationships" name="Все серии" sheetId="3" r:id="Re09988880ea9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0.000"/>
    <x:numFmt numFmtId="203" formatCode="0.00"/>
    <x:numFmt numFmtId="204" formatCode="&quot;$&quot;0.000000"/>
    <x:numFmt numFmtId="205" formatCode="&quot;$&quot;0.00000000"/>
    <x:numFmt numFmtId="206" formatCode="&quot;$&quot;0.0000"/>
  </x:numFmts>
  <x:fonts count="8">
    <x:font>
      <x:sz val="11"/>
      <x:name val="Carlito"/>
    </x:font>
    <x:font>
      <x:sz val="11"/>
      <x:color rgb="FF172B3A"/>
      <x:name val="Arial"/>
    </x:font>
    <x:font>
      <x:b/>
      <x:sz val="15"/>
      <x:color rgb="FF243F5B"/>
      <x:name val="Arial"/>
    </x:font>
    <x:font>
      <x:i/>
      <x:sz val="11"/>
      <x:color rgb="FF526679"/>
      <x:name val="Arial"/>
    </x:font>
    <x:font>
      <x:b/>
      <x:sz val="11"/>
      <x:color rgb="FFFFFFFF"/>
      <x:name val="Arial"/>
    </x:font>
    <x:font>
      <x:b/>
      <x:sz val="11"/>
      <x:color rgb="FF172B3A"/>
      <x:name val="Arial"/>
    </x:font>
    <x:font>
      <x:sz val="11"/>
      <x:color rgb="FF526679"/>
      <x:name val="Arial"/>
    </x:font>
    <x:font>
      <x:b/>
      <x:sz val="13"/>
      <x:color rgb="FF243F5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B"/>
      </x:patternFill>
    </x:fill>
    <x:fill>
      <x:patternFill patternType="solid">
        <x:fgColor rgb="FFFFFFFF"/>
      </x:patternFill>
    </x:fill>
  </x:fills>
  <x:borders count="5">
    <x:border/>
    <x:border>
      <x:bottom style="thin">
        <x:color rgb="FFA8B6C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4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4"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41cb23f9f4bb2" /><Relationship Type="http://schemas.openxmlformats.org/officeDocument/2006/relationships/theme" Target="/xl/theme/theme1.xml" Id="R2c5b2c74d6004775" /><Relationship Type="http://schemas.openxmlformats.org/officeDocument/2006/relationships/sharedStrings" Target="/xl/sharedStrings.xml" Id="R3e7368ab6d3a4e01" /><Relationship Type="http://schemas.openxmlformats.org/officeDocument/2006/relationships/worksheet" Target="/xl/worksheets/sheet1.xml" Id="Rbd03e7d1abc144ac" /><Relationship Type="http://schemas.openxmlformats.org/officeDocument/2006/relationships/worksheet" Target="/xl/worksheets/sheet2.xml" Id="R0756741f2ecc4d31" /><Relationship Type="http://schemas.openxmlformats.org/officeDocument/2006/relationships/worksheet" Target="/xl/worksheets/sheet3.xml" Id="Re09988880ea94cfb" /></Relationships>
</file>

<file path=xl/tables/table1.xml><?xml version="1.0" encoding="utf-8"?>
<x:table xmlns:x="http://schemas.openxmlformats.org/spreadsheetml/2006/main" id="2" name="ModelComparison" displayName="ModelComparison" ref="A8:AE24" headerRowCount="1" totalsRowCount="0" totalsRowShown="0">
  <x:autoFilter ref="A8:AE24"/>
  <x:tableColumns count="31">
    <x:tableColumn id="1" name="Модель"/>
    <x:tableColumn id="2" name="Статус"/>
    <x:tableColumn id="3" name="N"/>
    <x:tableColumn id="4" name="Верно"/>
    <x:tableColumn id="5" name="Качество"/>
    <x:tableColumn id="6" name="Ошибки"/>
    <x:tableColumn id="7" name="Input известно"/>
    <x:tableColumn id="8" name="Output известно"/>
    <x:tableColumn id="9" name="Reasoning известно"/>
    <x:tableColumn id="10" name="Input coverage N"/>
    <x:tableColumn id="11" name="Output coverage N"/>
    <x:tableColumn id="12" name="p50, с"/>
    <x:tableColumn id="13" name="p95, с"/>
    <x:tableColumn id="14" name="Первый delta p50, с"/>
    <x:tableColumn id="15" name="Первый answer p50, с"/>
    <x:tableColumn id="16" name="Client approx tok/s"/>
    <x:tableColumn id="17" name="Backend TTFT, с"/>
    <x:tableColumn id="18" name="Backend decode tok/s"/>
    <x:tableColumn id="19" name="VRAM весь GPU GiB"/>
    <x:tableColumn id="20" name="RAM весь ПК GiB"/>
    <x:tableColumn id="21" name="Каталог файлов GiB"/>
    <x:tableColumn id="22" name="Квантование"/>
    <x:tableColumn id="23" name="Offload запрошен"/>
    <x:tableColumn id="24" name="GPU layers фактически"/>
    <x:tableColumn id="25" name="Контекст"/>
    <x:tableColumn id="26" name="Parallel"/>
    <x:tableColumn id="27" name="Temperature requested"/>
    <x:tableColumn id="28" name="Max tokens"/>
    <x:tableColumn id="29" name="Seed"/>
    <x:tableColumn id="30" name="Cold load, с"/>
    <x:tableColumn id="31" name="Reasoning профил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FrozenPolicySummary" displayName="FrozenPolicySummary" ref="A8:X13" headerRowCount="1" totalsRowCount="0" totalsRowShown="0">
  <x:autoFilter ref="A8:X13"/>
  <x:tableColumns count="24">
    <x:tableColumn id="1" name="Политика"/>
    <x:tableColumn id="2" name="Статус"/>
    <x:tableColumn id="3" name="Target N"/>
    <x:tableColumn id="4" name="Measured N"/>
    <x:tableColumn id="5" name="Coverage"/>
    <x:tableColumn id="6" name="Верно"/>
    <x:tableColumn id="7" name="Качество"/>
    <x:tableColumn id="8" name="CI95 low"/>
    <x:tableColumn id="9" name="CI95 high"/>
    <x:tableColumn id="10" name="Критические ошибки"/>
    <x:tableColumn id="11" name="Critical rate"/>
    <x:tableColumn id="12" name="Error decisions"/>
    <x:tableColumn id="13" name="Call errors"/>
    <x:tableColumn id="14" name="QA N"/>
    <x:tableColumn id="15" name="QA EM"/>
    <x:tableColumn id="16" name="QA F1"/>
    <x:tableColumn id="17" name="Cloud calls"/>
    <x:tableColumn id="18" name="Local calls"/>
    <x:tableColumn id="19" name="Tool calls"/>
    <x:tableColumn id="20" name="Latency coverage N"/>
    <x:tableColumn id="21" name="Mean, с"/>
    <x:tableColumn id="22" name="p50, с"/>
    <x:tableColumn id="23" name="p95, с"/>
    <x:tableColumn id="24" name="Missing / NOT RU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FinalProviderUsage" displayName="FinalProviderUsage" ref="A18:S28" headerRowCount="1" totalsRowCount="0" totalsRowShown="0">
  <x:autoFilter ref="A18:S28"/>
  <x:tableColumns count="19">
    <x:tableColumn id="1" name="Политика"/>
    <x:tableColumn id="2" name="Provider"/>
    <x:tableColumn id="3" name="Calls"/>
    <x:tableColumn id="4" name="Input известно"/>
    <x:tableColumn id="5" name="Output известно"/>
    <x:tableColumn id="6" name="Reasoning известно"/>
    <x:tableColumn id="7" name="Input coverage N"/>
    <x:tableColumn id="8" name="Output coverage N"/>
    <x:tableColumn id="9" name="Reasoning coverage N"/>
    <x:tableColumn id="10" name="Usage complete"/>
    <x:tableColumn id="11" name="Первый delta p50, с"/>
    <x:tableColumn id="12" name="Первый answer p50, с"/>
    <x:tableColumn id="13" name="Client approx tok/s"/>
    <x:tableColumn id="14" name="Cost known USD"/>
    <x:tableColumn id="15" name="Cost coverage N"/>
    <x:tableColumn id="16" name="Unknown cost calls"/>
    <x:tableColumn id="17" name="Cost / 1000 complete USD"/>
    <x:tableColumn id="18" name="Cost / 1000 lower bound USD"/>
    <x:tableColumn id="19" name="Billing source comple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SavedSeries" displayName="SavedSeries" ref="A8:AL53" headerRowCount="1" totalsRowCount="0" totalsRowShown="0">
  <x:autoFilter ref="A8:AL53"/>
  <x:tableColumns count="38">
    <x:tableColumn id="1" name="Серия"/>
    <x:tableColumn id="2" name="Модель"/>
    <x:tableColumn id="3" name="Run ID"/>
    <x:tableColumn id="4" name="Выборка"/>
    <x:tableColumn id="5" name="Статус"/>
    <x:tableColumn id="6" name="N"/>
    <x:tableColumn id="7" name="Верно"/>
    <x:tableColumn id="8" name="Качество"/>
    <x:tableColumn id="9" name="Ошибки"/>
    <x:tableColumn id="10" name="Input известно"/>
    <x:tableColumn id="11" name="Output известно"/>
    <x:tableColumn id="12" name="Reasoning известно"/>
    <x:tableColumn id="13" name="Input coverage N"/>
    <x:tableColumn id="14" name="Output coverage N"/>
    <x:tableColumn id="15" name="Reasoning coverage N"/>
    <x:tableColumn id="16" name="Среднее, с"/>
    <x:tableColumn id="17" name="p50, с"/>
    <x:tableColumn id="18" name="p95, с"/>
    <x:tableColumn id="19" name="Первый delta p50, с"/>
    <x:tableColumn id="20" name="Первый answer p50, с"/>
    <x:tableColumn id="21" name="Client approx tok/s"/>
    <x:tableColumn id="22" name="Backend TTFT p50, с"/>
    <x:tableColumn id="23" name="Backend decode tok/s"/>
    <x:tableColumn id="24" name="VRAM весь GPU MiB"/>
    <x:tableColumn id="25" name="VRAM весь GPU GiB"/>
    <x:tableColumn id="26" name="RAM весь ПК GiB"/>
    <x:tableColumn id="27" name="Каталог файлов GiB"/>
    <x:tableColumn id="28" name="Квантование"/>
    <x:tableColumn id="29" name="Offload запрошен"/>
    <x:tableColumn id="30" name="GPU layers фактически"/>
    <x:tableColumn id="31" name="Контекст"/>
    <x:tableColumn id="32" name="Parallel"/>
    <x:tableColumn id="33" name="Temperature requested"/>
    <x:tableColumn id="34" name="Max tokens"/>
    <x:tableColumn id="35" name="Seed"/>
    <x:tableColumn id="36" name="Cold load, с"/>
    <x:tableColumn id="37" name="Reasoning профиль"/>
    <x:tableColumn id="38" name="Run model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5842055d904e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5351a402a14f58" /><Relationship Type="http://schemas.openxmlformats.org/officeDocument/2006/relationships/table" Target="/xl/tables/table3.xml" Id="Rd59cb32befab4f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f4ac33a5bcf402a" /></Relationships>
</file>

<file path=xl/worksheets/sheet1.xml><?xml version="1.0" encoding="utf-8"?>
<x:worksheet xmlns:x="http://schemas.openxmlformats.org/spreadsheetml/2006/main">
  <x:sheetPr>
    <x:tabColor rgb="FF243F5B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49" hidden="0" customWidth="1"/>
    <x:col min="2" max="2" width="28" hidden="0" customWidth="1"/>
    <x:col min="3" max="3" width="7" hidden="0" customWidth="1"/>
    <x:col min="4" max="4" width="13" hidden="0" customWidth="1"/>
    <x:col min="5" max="5" width="12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6" hidden="0" customWidth="1"/>
    <x:col min="23" max="23" width="15" hidden="0" customWidth="1"/>
    <x:col min="24" max="24" width="20" hidden="0" customWidth="1"/>
    <x:col min="25" max="25" width="11" hidden="0" customWidth="1"/>
    <x:col min="26" max="26" width="11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30" customHeight="1">
      <x:c r="A2" s="4" t="str">
        <x:v>LM Studio и Mercury: DEV измерения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</x:row>
    <x:row r="3" ht="26" customHeight="1">
      <x:c r="A3" s="6" t="str">
        <x:v>Качество сравнивается только на одинаковых ID. Полный DEV36: Qwen 27B, Gemma 26B и Mercury.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26" customHeight="1">
      <x:c r="A4" s="2" t="str">
        <x:v>API: 15 моделей, 13 с ответами. Две модели NOT RUN после предыдущей остановки по памяти.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26" customHeight="1">
      <x:c r="A5" s="2" t="str">
        <x:v>LM Studio API: native JSON schema, temperature 0, top_p 1, seed 42, max_tokens 512. none/low — экспериментальный reasoning control.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 ht="26" customHeight="1">
      <x:c r="A6" s="2" t="str">
        <x:v>Client TPS включает counted reasoning. Backend decode — отдельный log с точным matching; backend TTFT UNKNOWN. Первый delta может быть reasoning.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26" customHeight="1">
      <x:c r="A7" s="31" t="str">
        <x:v>Mercury: requested temperature 0; сервер изменил на 1 во всех 34 успешных DEV ответах.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70" customHeight="1">
      <x:c r="A8" s="15" t="str">
        <x:v>Модель</x:v>
      </x:c>
      <x:c r="B8" s="16" t="str">
        <x:v>Статус</x:v>
      </x:c>
      <x:c r="C8" s="16" t="str">
        <x:v>N</x:v>
      </x:c>
      <x:c r="D8" s="16" t="str">
        <x:v>Верно</x:v>
      </x:c>
      <x:c r="E8" s="16" t="str">
        <x:v>Качество</x:v>
      </x:c>
      <x:c r="F8" s="16" t="str">
        <x:v>Ошибки</x:v>
      </x:c>
      <x:c r="G8" s="16" t="str">
        <x:v>Input известно</x:v>
      </x:c>
      <x:c r="H8" s="16" t="str">
        <x:v>Output известно</x:v>
      </x:c>
      <x:c r="I8" s="16" t="str">
        <x:v>Reasoning известно</x:v>
      </x:c>
      <x:c r="J8" s="16" t="str">
        <x:v>Input coverage N</x:v>
      </x:c>
      <x:c r="K8" s="16" t="str">
        <x:v>Output coverage N</x:v>
      </x:c>
      <x:c r="L8" s="16" t="str">
        <x:v>p50, с</x:v>
      </x:c>
      <x:c r="M8" s="16" t="str">
        <x:v>p95, с</x:v>
      </x:c>
      <x:c r="N8" s="16" t="str">
        <x:v>Первый delta p50, с</x:v>
      </x:c>
      <x:c r="O8" s="16" t="str">
        <x:v>Первый answer p50, с</x:v>
      </x:c>
      <x:c r="P8" s="16" t="str">
        <x:v>Client approx tok/s</x:v>
      </x:c>
      <x:c r="Q8" s="16" t="str">
        <x:v>Backend TTFT, с</x:v>
      </x:c>
      <x:c r="R8" s="16" t="str">
        <x:v>Backend decode tok/s</x:v>
      </x:c>
      <x:c r="S8" s="16" t="str">
        <x:v>VRAM весь GPU GiB</x:v>
      </x:c>
      <x:c r="T8" s="16" t="str">
        <x:v>RAM весь ПК GiB</x:v>
      </x:c>
      <x:c r="U8" s="16" t="str">
        <x:v>Каталог файлов GiB</x:v>
      </x:c>
      <x:c r="V8" s="16" t="str">
        <x:v>Квантование</x:v>
      </x:c>
      <x:c r="W8" s="16" t="str">
        <x:v>Offload запрошен</x:v>
      </x:c>
      <x:c r="X8" s="16" t="str">
        <x:v>GPU layers фактически</x:v>
      </x:c>
      <x:c r="Y8" s="16" t="str">
        <x:v>Контекст</x:v>
      </x:c>
      <x:c r="Z8" s="16" t="str">
        <x:v>Parallel</x:v>
      </x:c>
      <x:c r="AA8" s="16" t="str">
        <x:v>Temperature requested</x:v>
      </x:c>
      <x:c r="AB8" s="16" t="str">
        <x:v>Max tokens</x:v>
      </x:c>
      <x:c r="AC8" s="16" t="str">
        <x:v>Seed</x:v>
      </x:c>
      <x:c r="AD8" s="16" t="str">
        <x:v>Cold load, с</x:v>
      </x:c>
      <x:c r="AE8" s="17" t="str">
        <x:v>Reasoning профиль</x:v>
      </x:c>
    </x:row>
    <x:row r="9" ht="46" customHeight="1">
      <x:c r="A9" s="21" t="str">
        <x:f>INDEX('Все серии'!$B$9:$B$53,MATCH("20261001T195351Z_61a2f68c_lm_api/gemma-4-26b-a4b-it",'Все серии'!$AL$9:$AL$53,0))</x:f>
        <x:v>gemma-4-26b-a4b-it</x:v>
      </x:c>
      <x:c r="B9" s="21" t="str">
        <x:f>INDEX('Все серии'!$E$9:$E$53,MATCH("20261001T195351Z_61a2f68c_lm_api/gemma-4-26b-a4b-it",'Все серии'!$AL$9:$AL$53,0))</x:f>
        <x:v>measured</x:v>
      </x:c>
      <x:c r="C9" s="22" t="n">
        <x:f>INDEX('Все серии'!$F$9:$F$53,MATCH("20261001T195351Z_61a2f68c_lm_api/gemma-4-26b-a4b-it",'Все серии'!$AL$9:$AL$53,0))</x:f>
        <x:v>36</x:v>
      </x:c>
      <x:c r="D9" s="22" t="n">
        <x:f>INDEX('Все серии'!$G$9:$G$53,MATCH("20261001T195351Z_61a2f68c_lm_api/gemma-4-26b-a4b-it",'Все серии'!$AL$9:$AL$53,0))</x:f>
        <x:v>22</x:v>
      </x:c>
      <x:c r="E9" s="23" t="n">
        <x:f>INDEX('Все серии'!$H$9:$H$53,MATCH("20261001T195351Z_61a2f68c_lm_api/gemma-4-26b-a4b-it",'Все серии'!$AL$9:$AL$53,0))</x:f>
        <x:v>0.6111111111111112</x:v>
      </x:c>
      <x:c r="F9" s="22" t="n">
        <x:f>INDEX('Все серии'!$I$9:$I$53,MATCH("20261001T195351Z_61a2f68c_lm_api/gemma-4-26b-a4b-it",'Все серии'!$AL$9:$AL$53,0))</x:f>
        <x:v>0</x:v>
      </x:c>
      <x:c r="G9" s="22" t="n">
        <x:f>INDEX('Все серии'!$J$9:$J$53,MATCH("20261001T195351Z_61a2f68c_lm_api/gemma-4-26b-a4b-it",'Все серии'!$AL$9:$AL$53,0))</x:f>
        <x:v>17016</x:v>
      </x:c>
      <x:c r="H9" s="22" t="n">
        <x:f>INDEX('Все серии'!$K$9:$K$53,MATCH("20261001T195351Z_61a2f68c_lm_api/gemma-4-26b-a4b-it",'Все серии'!$AL$9:$AL$53,0))</x:f>
        <x:v>1307</x:v>
      </x:c>
      <x:c r="I9" s="22" t="n">
        <x:f>INDEX('Все серии'!$L$9:$L$53,MATCH("20261001T195351Z_61a2f68c_lm_api/gemma-4-26b-a4b-it",'Все серии'!$AL$9:$AL$53,0))</x:f>
        <x:v>0</x:v>
      </x:c>
      <x:c r="J9" s="22" t="n">
        <x:f>INDEX('Все серии'!$M$9:$M$53,MATCH("20261001T195351Z_61a2f68c_lm_api/gemma-4-26b-a4b-it",'Все серии'!$AL$9:$AL$53,0))</x:f>
        <x:v>36</x:v>
      </x:c>
      <x:c r="K9" s="22" t="n">
        <x:f>INDEX('Все серии'!$N$9:$N$53,MATCH("20261001T195351Z_61a2f68c_lm_api/gemma-4-26b-a4b-it",'Все серии'!$AL$9:$AL$53,0))</x:f>
        <x:v>36</x:v>
      </x:c>
      <x:c r="L9" s="24" t="n">
        <x:f>INDEX('Все серии'!$Q$9:$Q$53,MATCH("20261001T195351Z_61a2f68c_lm_api/gemma-4-26b-a4b-it",'Все серии'!$AL$9:$AL$53,0))</x:f>
        <x:v>1.53192024999953</x:v>
      </x:c>
      <x:c r="M9" s="24" t="n">
        <x:f>INDEX('Все серии'!$R$9:$R$53,MATCH("20261001T195351Z_61a2f68c_lm_api/gemma-4-26b-a4b-it",'Все серии'!$AL$9:$AL$53,0))</x:f>
        <x:v>2.439536500000031</x:v>
      </x:c>
      <x:c r="N9" s="24" t="n">
        <x:f>INDEX('Все серии'!$S$9:$S$53,MATCH("20261001T195351Z_61a2f68c_lm_api/gemma-4-26b-a4b-it",'Все серии'!$AL$9:$AL$53,0))</x:f>
        <x:v>0.6492609500000981</x:v>
      </x:c>
      <x:c r="O9" s="24" t="n">
        <x:f>INDEX('Все серии'!$T$9:$T$53,MATCH("20261001T195351Z_61a2f68c_lm_api/gemma-4-26b-a4b-it",'Все серии'!$AL$9:$AL$53,0))</x:f>
        <x:v>0.6492609500000981</x:v>
      </x:c>
      <x:c r="P9" s="25" t="n">
        <x:f>INDEX('Все серии'!$U$9:$U$53,MATCH("20261001T195351Z_61a2f68c_lm_api/gemma-4-26b-a4b-it",'Все серии'!$AL$9:$AL$53,0))</x:f>
        <x:v>42.983503551096206</x:v>
      </x:c>
      <x:c r="Q9" s="24" t="str">
        <x:f>INDEX('Все серии'!$V$9:$V$53,MATCH("20261001T195351Z_61a2f68c_lm_api/gemma-4-26b-a4b-it",'Все серии'!$AL$9:$AL$53,0))</x:f>
        <x:v>UNKNOWN</x:v>
      </x:c>
      <x:c r="R9" s="25" t="n">
        <x:f>INDEX('Все серии'!$W$9:$W$53,MATCH("20261001T195351Z_61a2f68c_lm_api/gemma-4-26b-a4b-it",'Все серии'!$AL$9:$AL$53,0))</x:f>
        <x:v>33.53</x:v>
      </x:c>
      <x:c r="S9" s="25" t="n">
        <x:f>INDEX('Все серии'!$Y$9:$Y$53,MATCH("20261001T195351Z_61a2f68c_lm_api/gemma-4-26b-a4b-it",'Все серии'!$AL$9:$AL$53,0))</x:f>
        <x:v>13.712890625</x:v>
      </x:c>
      <x:c r="T9" s="25" t="n">
        <x:f>INDEX('Все серии'!$Z$9:$Z$53,MATCH("20261001T195351Z_61a2f68c_lm_api/gemma-4-26b-a4b-it",'Все серии'!$AL$9:$AL$53,0))</x:f>
        <x:v>26.880290985107422</x:v>
      </x:c>
      <x:c r="U9" s="25" t="n">
        <x:f>INDEX('Все серии'!$AA$9:$AA$53,MATCH("20261001T195351Z_61a2f68c_lm_api/gemma-4-26b-a4b-it",'Все серии'!$AL$9:$AL$53,0))</x:f>
        <x:v>15.690822293050587</x:v>
      </x:c>
      <x:c r="V9" s="20" t="str">
        <x:f>INDEX('Все серии'!$AB$9:$AB$53,MATCH("20261001T195351Z_61a2f68c_lm_api/gemma-4-26b-a4b-it",'Все серии'!$AL$9:$AL$53,0))</x:f>
        <x:v>IQ4_NL_XL</x:v>
      </x:c>
      <x:c r="W9" s="20" t="n">
        <x:f>INDEX('Все серии'!$AC$9:$AC$53,MATCH("20261001T195351Z_61a2f68c_lm_api/gemma-4-26b-a4b-it",'Все серии'!$AL$9:$AL$53,0))</x:f>
        <x:v>0.7</x:v>
      </x:c>
      <x:c r="X9" s="20" t="str">
        <x:f>INDEX('Все серии'!$AD$9:$AD$53,MATCH("20261001T195351Z_61a2f68c_lm_api/gemma-4-26b-a4b-it",'Все серии'!$AL$9:$AL$53,0))</x:f>
        <x:v>UNKNOWN</x:v>
      </x:c>
      <x:c r="Y9" s="22" t="n">
        <x:f>INDEX('Все серии'!$AE$9:$AE$53,MATCH("20261001T195351Z_61a2f68c_lm_api/gemma-4-26b-a4b-it",'Все серии'!$AL$9:$AL$53,0))</x:f>
        <x:v>4096</x:v>
      </x:c>
      <x:c r="Z9" s="22" t="n">
        <x:f>INDEX('Все серии'!$AF$9:$AF$53,MATCH("20261001T195351Z_61a2f68c_lm_api/gemma-4-26b-a4b-it",'Все серии'!$AL$9:$AL$53,0))</x:f>
        <x:v>1</x:v>
      </x:c>
      <x:c r="AA9" s="19" t="n">
        <x:f>INDEX('Все серии'!$AG$9:$AG$53,MATCH("20261001T195351Z_61a2f68c_lm_api/gemma-4-26b-a4b-it",'Все серии'!$AL$9:$AL$53,0))</x:f>
        <x:v>0</x:v>
      </x:c>
      <x:c r="AB9" s="22" t="n">
        <x:f>INDEX('Все серии'!$AH$9:$AH$53,MATCH("20261001T195351Z_61a2f68c_lm_api/gemma-4-26b-a4b-it",'Все серии'!$AL$9:$AL$53,0))</x:f>
        <x:v>512</x:v>
      </x:c>
      <x:c r="AC9" s="22" t="n">
        <x:f>INDEX('Все серии'!$AI$9:$AI$53,MATCH("20261001T195351Z_61a2f68c_lm_api/gemma-4-26b-a4b-it",'Все серии'!$AL$9:$AL$53,0))</x:f>
        <x:v>42</x:v>
      </x:c>
      <x:c r="AD9" s="24" t="n">
        <x:f>INDEX('Все серии'!$AJ$9:$AJ$53,MATCH("20261001T195351Z_61a2f68c_lm_api/gemma-4-26b-a4b-it",'Все серии'!$AL$9:$AL$53,0))</x:f>
        <x:v>21.339523499998904</x:v>
      </x:c>
      <x:c r="AE9" s="73" t="str">
        <x:f>INDEX('Все серии'!$AK$9:$AK$53,MATCH("20261001T195351Z_61a2f68c_lm_api/gemma-4-26b-a4b-it",'Все серии'!$AL$9:$AL$53,0))</x:f>
        <x:v>off-or-low</x:v>
      </x:c>
    </x:row>
    <x:row r="10" ht="46" customHeight="1">
      <x:c r="A10" s="21" t="str">
        <x:f>INDEX('Все серии'!$B$9:$B$53,MATCH("20261001T194807Z_f5edc9b3_lm_api/qwen3.8-27b",'Все серии'!$AL$9:$AL$53,0))</x:f>
        <x:v>qwen3.8-27b</x:v>
      </x:c>
      <x:c r="B10" s="21" t="str">
        <x:f>INDEX('Все серии'!$E$9:$E$53,MATCH("20261001T194807Z_f5edc9b3_lm_api/qwen3.8-27b",'Все серии'!$AL$9:$AL$53,0))</x:f>
        <x:v>measured</x:v>
      </x:c>
      <x:c r="C10" s="22" t="n">
        <x:f>INDEX('Все серии'!$F$9:$F$53,MATCH("20261001T194807Z_f5edc9b3_lm_api/qwen3.8-27b",'Все серии'!$AL$9:$AL$53,0))</x:f>
        <x:v>36</x:v>
      </x:c>
      <x:c r="D10" s="22" t="n">
        <x:f>INDEX('Все серии'!$G$9:$G$53,MATCH("20261001T194807Z_f5edc9b3_lm_api/qwen3.8-27b",'Все серии'!$AL$9:$AL$53,0))</x:f>
        <x:v>25</x:v>
      </x:c>
      <x:c r="E10" s="23" t="n">
        <x:f>INDEX('Все серии'!$H$9:$H$53,MATCH("20261001T194807Z_f5edc9b3_lm_api/qwen3.8-27b",'Все серии'!$AL$9:$AL$53,0))</x:f>
        <x:v>0.6944444444444444</x:v>
      </x:c>
      <x:c r="F10" s="22" t="n">
        <x:f>INDEX('Все серии'!$I$9:$I$53,MATCH("20261001T194807Z_f5edc9b3_lm_api/qwen3.8-27b",'Все серии'!$AL$9:$AL$53,0))</x:f>
        <x:v>0</x:v>
      </x:c>
      <x:c r="G10" s="22" t="n">
        <x:f>INDEX('Все серии'!$J$9:$J$53,MATCH("20261001T194807Z_f5edc9b3_lm_api/qwen3.8-27b",'Все серии'!$AL$9:$AL$53,0))</x:f>
        <x:v>16486</x:v>
      </x:c>
      <x:c r="H10" s="22" t="n">
        <x:f>INDEX('Все серии'!$K$9:$K$53,MATCH("20261001T194807Z_f5edc9b3_lm_api/qwen3.8-27b",'Все серии'!$AL$9:$AL$53,0))</x:f>
        <x:v>1109</x:v>
      </x:c>
      <x:c r="I10" s="22" t="n">
        <x:f>INDEX('Все серии'!$L$9:$L$53,MATCH("20261001T194807Z_f5edc9b3_lm_api/qwen3.8-27b",'Все серии'!$AL$9:$AL$53,0))</x:f>
        <x:v>0</x:v>
      </x:c>
      <x:c r="J10" s="22" t="n">
        <x:f>INDEX('Все серии'!$M$9:$M$53,MATCH("20261001T194807Z_f5edc9b3_lm_api/qwen3.8-27b",'Все серии'!$AL$9:$AL$53,0))</x:f>
        <x:v>36</x:v>
      </x:c>
      <x:c r="K10" s="22" t="n">
        <x:f>INDEX('Все серии'!$N$9:$N$53,MATCH("20261001T194807Z_f5edc9b3_lm_api/qwen3.8-27b",'Все серии'!$AL$9:$AL$53,0))</x:f>
        <x:v>36</x:v>
      </x:c>
      <x:c r="L10" s="24" t="n">
        <x:f>INDEX('Все серии'!$Q$9:$Q$53,MATCH("20261001T194807Z_f5edc9b3_lm_api/qwen3.8-27b",'Все серии'!$AL$9:$AL$53,0))</x:f>
        <x:v>3.0302098000001934</x:v>
      </x:c>
      <x:c r="M10" s="24" t="n">
        <x:f>INDEX('Все серии'!$R$9:$R$53,MATCH("20261001T194807Z_f5edc9b3_lm_api/qwen3.8-27b",'Все серии'!$AL$9:$AL$53,0))</x:f>
        <x:v>4.24372884999957</x:v>
      </x:c>
      <x:c r="N10" s="24" t="n">
        <x:f>INDEX('Все серии'!$S$9:$S$53,MATCH("20261001T194807Z_f5edc9b3_lm_api/qwen3.8-27b",'Все серии'!$AL$9:$AL$53,0))</x:f>
        <x:v>0.8341464000004635</x:v>
      </x:c>
      <x:c r="O10" s="24" t="n">
        <x:f>INDEX('Все серии'!$T$9:$T$53,MATCH("20261001T194807Z_f5edc9b3_lm_api/qwen3.8-27b",'Все серии'!$AL$9:$AL$53,0))</x:f>
        <x:v>0.8341464000004635</x:v>
      </x:c>
      <x:c r="P10" s="25" t="n">
        <x:f>INDEX('Все серии'!$U$9:$U$53,MATCH("20261001T194807Z_f5edc9b3_lm_api/qwen3.8-27b",'Все серии'!$AL$9:$AL$53,0))</x:f>
        <x:v>14.35792864623695</x:v>
      </x:c>
      <x:c r="Q10" s="24" t="str">
        <x:f>INDEX('Все серии'!$V$9:$V$53,MATCH("20261001T194807Z_f5edc9b3_lm_api/qwen3.8-27b",'Все серии'!$AL$9:$AL$53,0))</x:f>
        <x:v>UNKNOWN</x:v>
      </x:c>
      <x:c r="R10" s="25" t="n">
        <x:f>INDEX('Все серии'!$W$9:$W$53,MATCH("20261001T194807Z_f5edc9b3_lm_api/qwen3.8-27b",'Все серии'!$AL$9:$AL$53,0))</x:f>
        <x:v>13.545</x:v>
      </x:c>
      <x:c r="S10" s="25" t="n">
        <x:f>INDEX('Все серии'!$Y$9:$Y$53,MATCH("20261001T194807Z_f5edc9b3_lm_api/qwen3.8-27b",'Все серии'!$AL$9:$AL$53,0))</x:f>
        <x:v>14.8330078125</x:v>
      </x:c>
      <x:c r="T10" s="25" t="n">
        <x:f>INDEX('Все серии'!$Z$9:$Z$53,MATCH("20261001T194807Z_f5edc9b3_lm_api/qwen3.8-27b",'Все серии'!$AL$9:$AL$53,0))</x:f>
        <x:v>27.800556182861328</x:v>
      </x:c>
      <x:c r="U10" s="25" t="n">
        <x:f>INDEX('Все серии'!$AA$9:$AA$53,MATCH("20261001T194807Z_f5edc9b3_lm_api/qwen3.8-27b",'Все серии'!$AL$9:$AL$53,0))</x:f>
        <x:v>16.197610154747963</x:v>
      </x:c>
      <x:c r="V10" s="20" t="str">
        <x:f>INDEX('Все серии'!$AB$9:$AB$53,MATCH("20261001T194807Z_f5edc9b3_lm_api/qwen3.8-27b",'Все серии'!$AL$9:$AL$53,0))</x:f>
        <x:v>Q4_K_M</x:v>
      </x:c>
      <x:c r="W10" s="20" t="n">
        <x:f>INDEX('Все серии'!$AC$9:$AC$53,MATCH("20261001T194807Z_f5edc9b3_lm_api/qwen3.8-27b",'Все серии'!$AL$9:$AL$53,0))</x:f>
        <x:v>0.75</x:v>
      </x:c>
      <x:c r="X10" s="20" t="str">
        <x:f>INDEX('Все серии'!$AD$9:$AD$53,MATCH("20261001T194807Z_f5edc9b3_lm_api/qwen3.8-27b",'Все серии'!$AL$9:$AL$53,0))</x:f>
        <x:v>UNKNOWN</x:v>
      </x:c>
      <x:c r="Y10" s="22" t="n">
        <x:f>INDEX('Все серии'!$AE$9:$AE$53,MATCH("20261001T194807Z_f5edc9b3_lm_api/qwen3.8-27b",'Все серии'!$AL$9:$AL$53,0))</x:f>
        <x:v>4096</x:v>
      </x:c>
      <x:c r="Z10" s="22" t="n">
        <x:f>INDEX('Все серии'!$AF$9:$AF$53,MATCH("20261001T194807Z_f5edc9b3_lm_api/qwen3.8-27b",'Все серии'!$AL$9:$AL$53,0))</x:f>
        <x:v>1</x:v>
      </x:c>
      <x:c r="AA10" s="19" t="n">
        <x:f>INDEX('Все серии'!$AG$9:$AG$53,MATCH("20261001T194807Z_f5edc9b3_lm_api/qwen3.8-27b",'Все серии'!$AL$9:$AL$53,0))</x:f>
        <x:v>0</x:v>
      </x:c>
      <x:c r="AB10" s="22" t="n">
        <x:f>INDEX('Все серии'!$AH$9:$AH$53,MATCH("20261001T194807Z_f5edc9b3_lm_api/qwen3.8-27b",'Все серии'!$AL$9:$AL$53,0))</x:f>
        <x:v>512</x:v>
      </x:c>
      <x:c r="AC10" s="22" t="n">
        <x:f>INDEX('Все серии'!$AI$9:$AI$53,MATCH("20261001T194807Z_f5edc9b3_lm_api/qwen3.8-27b",'Все серии'!$AL$9:$AL$53,0))</x:f>
        <x:v>42</x:v>
      </x:c>
      <x:c r="AD10" s="24" t="n">
        <x:f>INDEX('Все серии'!$AJ$9:$AJ$53,MATCH("20261001T194807Z_f5edc9b3_lm_api/qwen3.8-27b",'Все серии'!$AL$9:$AL$53,0))</x:f>
        <x:v>23.97627620000094</x:v>
      </x:c>
      <x:c r="AE10" s="73" t="str">
        <x:f>INDEX('Все серии'!$AK$9:$AK$53,MATCH("20261001T194807Z_f5edc9b3_lm_api/qwen3.8-27b",'Все серии'!$AL$9:$AL$53,0))</x:f>
        <x:v>off-or-low</x:v>
      </x:c>
    </x:row>
    <x:row r="11" ht="46" customHeight="1">
      <x:c r="A11" s="21" t="str">
        <x:f>INDEX('Все серии'!$B$9:$B$53,MATCH("20261001T194807Z_f5edc9b3_lm_api/qwen3.5-35b-a3b",'Все серии'!$AL$9:$AL$53,0))</x:f>
        <x:v>qwen3.5-35b-a3b</x:v>
      </x:c>
      <x:c r="B11" s="21" t="str">
        <x:f>INDEX('Все серии'!$E$9:$E$53,MATCH("20261001T194807Z_f5edc9b3_lm_api/qwen3.5-35b-a3b",'Все серии'!$AL$9:$AL$53,0))</x:f>
        <x:v>RESOURCE_STOP</x:v>
      </x:c>
      <x:c r="C11" s="22" t="n">
        <x:f>INDEX('Все серии'!$F$9:$F$53,MATCH("20261001T194807Z_f5edc9b3_lm_api/qwen3.5-35b-a3b",'Все серии'!$AL$9:$AL$53,0))</x:f>
        <x:v>13</x:v>
      </x:c>
      <x:c r="D11" s="22" t="n">
        <x:f>INDEX('Все серии'!$G$9:$G$53,MATCH("20261001T194807Z_f5edc9b3_lm_api/qwen3.5-35b-a3b",'Все серии'!$AL$9:$AL$53,0))</x:f>
        <x:v>7</x:v>
      </x:c>
      <x:c r="E11" s="23" t="n">
        <x:f>INDEX('Все серии'!$H$9:$H$53,MATCH("20261001T194807Z_f5edc9b3_lm_api/qwen3.5-35b-a3b",'Все серии'!$AL$9:$AL$53,0))</x:f>
        <x:v>0.5384615384615384</x:v>
      </x:c>
      <x:c r="F11" s="22" t="n">
        <x:f>INDEX('Все серии'!$I$9:$I$53,MATCH("20261001T194807Z_f5edc9b3_lm_api/qwen3.5-35b-a3b",'Все серии'!$AL$9:$AL$53,0))</x:f>
        <x:v>0</x:v>
      </x:c>
      <x:c r="G11" s="22" t="n">
        <x:f>INDEX('Все серии'!$J$9:$J$53,MATCH("20261001T194807Z_f5edc9b3_lm_api/qwen3.5-35b-a3b",'Все серии'!$AL$9:$AL$53,0))</x:f>
        <x:v>6124</x:v>
      </x:c>
      <x:c r="H11" s="22" t="n">
        <x:f>INDEX('Все серии'!$K$9:$K$53,MATCH("20261001T194807Z_f5edc9b3_lm_api/qwen3.5-35b-a3b",'Все серии'!$AL$9:$AL$53,0))</x:f>
        <x:v>411</x:v>
      </x:c>
      <x:c r="I11" s="22" t="n">
        <x:f>INDEX('Все серии'!$L$9:$L$53,MATCH("20261001T194807Z_f5edc9b3_lm_api/qwen3.5-35b-a3b",'Все серии'!$AL$9:$AL$53,0))</x:f>
        <x:v>0</x:v>
      </x:c>
      <x:c r="J11" s="22" t="n">
        <x:f>INDEX('Все серии'!$M$9:$M$53,MATCH("20261001T194807Z_f5edc9b3_lm_api/qwen3.5-35b-a3b",'Все серии'!$AL$9:$AL$53,0))</x:f>
        <x:v>13</x:v>
      </x:c>
      <x:c r="K11" s="22" t="n">
        <x:f>INDEX('Все серии'!$N$9:$N$53,MATCH("20261001T194807Z_f5edc9b3_lm_api/qwen3.5-35b-a3b",'Все серии'!$AL$9:$AL$53,0))</x:f>
        <x:v>13</x:v>
      </x:c>
      <x:c r="L11" s="24" t="n">
        <x:f>INDEX('Все серии'!$Q$9:$Q$53,MATCH("20261001T194807Z_f5edc9b3_lm_api/qwen3.5-35b-a3b",'Все серии'!$AL$9:$AL$53,0))</x:f>
        <x:v>1.7335896999993565</x:v>
      </x:c>
      <x:c r="M11" s="24" t="n">
        <x:f>INDEX('Все серии'!$R$9:$R$53,MATCH("20261001T194807Z_f5edc9b3_lm_api/qwen3.5-35b-a3b",'Все серии'!$AL$9:$AL$53,0))</x:f>
        <x:v>5.26836688000002</x:v>
      </x:c>
      <x:c r="N11" s="24" t="n">
        <x:f>INDEX('Все серии'!$S$9:$S$53,MATCH("20261001T194807Z_f5edc9b3_lm_api/qwen3.5-35b-a3b",'Все серии'!$AL$9:$AL$53,0))</x:f>
        <x:v>0.7148194999990665</x:v>
      </x:c>
      <x:c r="O11" s="24" t="n">
        <x:f>INDEX('Все серии'!$T$9:$T$53,MATCH("20261001T194807Z_f5edc9b3_lm_api/qwen3.5-35b-a3b",'Все серии'!$AL$9:$AL$53,0))</x:f>
        <x:v>0.7148194999990665</x:v>
      </x:c>
      <x:c r="P11" s="25" t="n">
        <x:f>INDEX('Все серии'!$U$9:$U$53,MATCH("20261001T194807Z_f5edc9b3_lm_api/qwen3.5-35b-a3b",'Все серии'!$AL$9:$AL$53,0))</x:f>
        <x:v>31.091332724459214</x:v>
      </x:c>
      <x:c r="Q11" s="24" t="str">
        <x:f>INDEX('Все серии'!$V$9:$V$53,MATCH("20261001T194807Z_f5edc9b3_lm_api/qwen3.5-35b-a3b",'Все серии'!$AL$9:$AL$53,0))</x:f>
        <x:v>UNKNOWN</x:v>
      </x:c>
      <x:c r="R11" s="25" t="n">
        <x:f>INDEX('Все серии'!$W$9:$W$53,MATCH("20261001T194807Z_f5edc9b3_lm_api/qwen3.5-35b-a3b",'Все серии'!$AL$9:$AL$53,0))</x:f>
        <x:v>28.74</x:v>
      </x:c>
      <x:c r="S11" s="25" t="n">
        <x:f>INDEX('Все серии'!$Y$9:$Y$53,MATCH("20261001T194807Z_f5edc9b3_lm_api/qwen3.5-35b-a3b",'Все серии'!$AL$9:$AL$53,0))</x:f>
        <x:v>13.7705078125</x:v>
      </x:c>
      <x:c r="T11" s="25" t="n">
        <x:f>INDEX('Все серии'!$Z$9:$Z$53,MATCH("20261001T194807Z_f5edc9b3_lm_api/qwen3.5-35b-a3b",'Все серии'!$AL$9:$AL$53,0))</x:f>
        <x:v>29.765369415283203</x:v>
      </x:c>
      <x:c r="U11" s="25" t="n">
        <x:f>INDEX('Все серии'!$AA$9:$AA$53,MATCH("20261001T194807Z_f5edc9b3_lm_api/qwen3.5-35b-a3b",'Все серии'!$AL$9:$AL$53,0))</x:f>
        <x:v>20.481590742245317</x:v>
      </x:c>
      <x:c r="V11" s="20" t="str">
        <x:f>INDEX('Все серии'!$AB$9:$AB$53,MATCH("20261001T194807Z_f5edc9b3_lm_api/qwen3.5-35b-a3b",'Все серии'!$AL$9:$AL$53,0))</x:f>
        <x:v>Q4_K_L</x:v>
      </x:c>
      <x:c r="W11" s="20" t="n">
        <x:f>INDEX('Все серии'!$AC$9:$AC$53,MATCH("20261001T194807Z_f5edc9b3_lm_api/qwen3.5-35b-a3b",'Все серии'!$AL$9:$AL$53,0))</x:f>
        <x:v>0.55</x:v>
      </x:c>
      <x:c r="X11" s="20" t="str">
        <x:f>INDEX('Все серии'!$AD$9:$AD$53,MATCH("20261001T194807Z_f5edc9b3_lm_api/qwen3.5-35b-a3b",'Все серии'!$AL$9:$AL$53,0))</x:f>
        <x:v>UNKNOWN</x:v>
      </x:c>
      <x:c r="Y11" s="22" t="n">
        <x:f>INDEX('Все серии'!$AE$9:$AE$53,MATCH("20261001T194807Z_f5edc9b3_lm_api/qwen3.5-35b-a3b",'Все серии'!$AL$9:$AL$53,0))</x:f>
        <x:v>4096</x:v>
      </x:c>
      <x:c r="Z11" s="22" t="n">
        <x:f>INDEX('Все серии'!$AF$9:$AF$53,MATCH("20261001T194807Z_f5edc9b3_lm_api/qwen3.5-35b-a3b",'Все серии'!$AL$9:$AL$53,0))</x:f>
        <x:v>1</x:v>
      </x:c>
      <x:c r="AA11" s="19" t="n">
        <x:f>INDEX('Все серии'!$AG$9:$AG$53,MATCH("20261001T194807Z_f5edc9b3_lm_api/qwen3.5-35b-a3b",'Все серии'!$AL$9:$AL$53,0))</x:f>
        <x:v>0</x:v>
      </x:c>
      <x:c r="AB11" s="22" t="n">
        <x:f>INDEX('Все серии'!$AH$9:$AH$53,MATCH("20261001T194807Z_f5edc9b3_lm_api/qwen3.5-35b-a3b",'Все серии'!$AL$9:$AL$53,0))</x:f>
        <x:v>512</x:v>
      </x:c>
      <x:c r="AC11" s="22" t="n">
        <x:f>INDEX('Все серии'!$AI$9:$AI$53,MATCH("20261001T194807Z_f5edc9b3_lm_api/qwen3.5-35b-a3b",'Все серии'!$AL$9:$AL$53,0))</x:f>
        <x:v>42</x:v>
      </x:c>
      <x:c r="AD11" s="24" t="n">
        <x:f>INDEX('Все серии'!$AJ$9:$AJ$53,MATCH("20261001T194807Z_f5edc9b3_lm_api/qwen3.5-35b-a3b",'Все серии'!$AL$9:$AL$53,0))</x:f>
        <x:v>49.08162569999877</x:v>
      </x:c>
      <x:c r="AE11" s="73" t="str">
        <x:f>INDEX('Все серии'!$AK$9:$AK$53,MATCH("20261001T194807Z_f5edc9b3_lm_api/qwen3.5-35b-a3b",'Все серии'!$AL$9:$AL$53,0))</x:f>
        <x:v>off-or-low</x:v>
      </x:c>
    </x:row>
    <x:row r="12" ht="46" customHeight="1">
      <x:c r="A12" s="21" t="str">
        <x:f>INDEX('Все серии'!$B$9:$B$53,MATCH("20261001T195351Z_61a2f68c_lm_api/gpt-oss-20b",'Все серии'!$AL$9:$AL$53,0))</x:f>
        <x:v>gpt-oss-20b</x:v>
      </x:c>
      <x:c r="B12" s="21" t="str">
        <x:f>INDEX('Все серии'!$E$9:$E$53,MATCH("20261001T195351Z_61a2f68c_lm_api/gpt-oss-20b",'Все серии'!$AL$9:$AL$53,0))</x:f>
        <x:v>EARLY_STOP</x:v>
      </x:c>
      <x:c r="C12" s="22" t="n">
        <x:f>INDEX('Все серии'!$F$9:$F$53,MATCH("20261001T195351Z_61a2f68c_lm_api/gpt-oss-20b",'Все серии'!$AL$9:$AL$53,0))</x:f>
        <x:v>13</x:v>
      </x:c>
      <x:c r="D12" s="22" t="n">
        <x:f>INDEX('Все серии'!$G$9:$G$53,MATCH("20261001T195351Z_61a2f68c_lm_api/gpt-oss-20b",'Все серии'!$AL$9:$AL$53,0))</x:f>
        <x:v>8</x:v>
      </x:c>
      <x:c r="E12" s="23" t="n">
        <x:f>INDEX('Все серии'!$H$9:$H$53,MATCH("20261001T195351Z_61a2f68c_lm_api/gpt-oss-20b",'Все серии'!$AL$9:$AL$53,0))</x:f>
        <x:v>0.6153846153846154</x:v>
      </x:c>
      <x:c r="F12" s="22" t="n">
        <x:f>INDEX('Все серии'!$I$9:$I$53,MATCH("20261001T195351Z_61a2f68c_lm_api/gpt-oss-20b",'Все серии'!$AL$9:$AL$53,0))</x:f>
        <x:v>4</x:v>
      </x:c>
      <x:c r="G12" s="22" t="n">
        <x:f>INDEX('Все серии'!$J$9:$J$53,MATCH("20261001T195351Z_61a2f68c_lm_api/gpt-oss-20b",'Все серии'!$AL$9:$AL$53,0))</x:f>
        <x:v>6437</x:v>
      </x:c>
      <x:c r="H12" s="22" t="n">
        <x:f>INDEX('Все серии'!$K$9:$K$53,MATCH("20261001T195351Z_61a2f68c_lm_api/gpt-oss-20b",'Все серии'!$AL$9:$AL$53,0))</x:f>
        <x:v>4515</x:v>
      </x:c>
      <x:c r="I12" s="22" t="n">
        <x:f>INDEX('Все серии'!$L$9:$L$53,MATCH("20261001T195351Z_61a2f68c_lm_api/gpt-oss-20b",'Все серии'!$AL$9:$AL$53,0))</x:f>
        <x:v>4181</x:v>
      </x:c>
      <x:c r="J12" s="22" t="n">
        <x:f>INDEX('Все серии'!$M$9:$M$53,MATCH("20261001T195351Z_61a2f68c_lm_api/gpt-oss-20b",'Все серии'!$AL$9:$AL$53,0))</x:f>
        <x:v>13</x:v>
      </x:c>
      <x:c r="K12" s="22" t="n">
        <x:f>INDEX('Все серии'!$N$9:$N$53,MATCH("20261001T195351Z_61a2f68c_lm_api/gpt-oss-20b",'Все серии'!$AL$9:$AL$53,0))</x:f>
        <x:v>13</x:v>
      </x:c>
      <x:c r="L12" s="24" t="n">
        <x:f>INDEX('Все серии'!$Q$9:$Q$53,MATCH("20261001T195351Z_61a2f68c_lm_api/gpt-oss-20b",'Все серии'!$AL$9:$AL$53,0))</x:f>
        <x:v>3.156782399999429</x:v>
      </x:c>
      <x:c r="M12" s="24" t="n">
        <x:f>INDEX('Все серии'!$R$9:$R$53,MATCH("20261001T195351Z_61a2f68c_lm_api/gpt-oss-20b",'Все серии'!$AL$9:$AL$53,0))</x:f>
        <x:v>5.133421240000825</x:v>
      </x:c>
      <x:c r="N12" s="24" t="n">
        <x:f>INDEX('Все серии'!$S$9:$S$53,MATCH("20261001T195351Z_61a2f68c_lm_api/gpt-oss-20b",'Все серии'!$AL$9:$AL$53,0))</x:f>
        <x:v>0.18225170000005164</x:v>
      </x:c>
      <x:c r="O12" s="24" t="n">
        <x:f>INDEX('Все серии'!$T$9:$T$53,MATCH("20261001T195351Z_61a2f68c_lm_api/gpt-oss-20b",'Все серии'!$AL$9:$AL$53,0))</x:f>
        <x:v>2.7480158000016672</x:v>
      </x:c>
      <x:c r="P12" s="25" t="n">
        <x:f>INDEX('Все серии'!$U$9:$U$53,MATCH("20261001T195351Z_61a2f68c_lm_api/gpt-oss-20b",'Все серии'!$AL$9:$AL$53,0))</x:f>
        <x:v>109.71219066768889</x:v>
      </x:c>
      <x:c r="Q12" s="24" t="str">
        <x:f>INDEX('Все серии'!$V$9:$V$53,MATCH("20261001T195351Z_61a2f68c_lm_api/gpt-oss-20b",'Все серии'!$AL$9:$AL$53,0))</x:f>
        <x:v>UNKNOWN</x:v>
      </x:c>
      <x:c r="R12" s="25" t="n">
        <x:f>INDEX('Все серии'!$W$9:$W$53,MATCH("20261001T195351Z_61a2f68c_lm_api/gpt-oss-20b",'Все серии'!$AL$9:$AL$53,0))</x:f>
        <x:v>106.26</x:v>
      </x:c>
      <x:c r="S12" s="25" t="n">
        <x:f>INDEX('Все серии'!$Y$9:$Y$53,MATCH("20261001T195351Z_61a2f68c_lm_api/gpt-oss-20b",'Все серии'!$AL$9:$AL$53,0))</x:f>
        <x:v>12.1630859375</x:v>
      </x:c>
      <x:c r="T12" s="25" t="n">
        <x:f>INDEX('Все серии'!$Z$9:$Z$53,MATCH("20261001T195351Z_61a2f68c_lm_api/gpt-oss-20b",'Все серии'!$AL$9:$AL$53,0))</x:f>
        <x:v>23.476333618164062</x:v>
      </x:c>
      <x:c r="U12" s="25" t="n">
        <x:f>INDEX('Все серии'!$AA$9:$AA$53,MATCH("20261001T195351Z_61a2f68c_lm_api/gpt-oss-20b",'Все серии'!$AL$9:$AL$53,0))</x:f>
        <x:v>11.277914802543819</x:v>
      </x:c>
      <x:c r="V12" s="20" t="str">
        <x:f>INDEX('Все серии'!$AB$9:$AB$53,MATCH("20261001T195351Z_61a2f68c_lm_api/gpt-oss-20b",'Все серии'!$AL$9:$AL$53,0))</x:f>
        <x:v>Q8_0</x:v>
      </x:c>
      <x:c r="W12" s="20" t="str">
        <x:f>INDEX('Все серии'!$AC$9:$AC$53,MATCH("20261001T195351Z_61a2f68c_lm_api/gpt-oss-20b",'Все серии'!$AL$9:$AL$53,0))</x:f>
        <x:v>max</x:v>
      </x:c>
      <x:c r="X12" s="20" t="str">
        <x:f>INDEX('Все серии'!$AD$9:$AD$53,MATCH("20261001T195351Z_61a2f68c_lm_api/gpt-oss-20b",'Все серии'!$AL$9:$AL$53,0))</x:f>
        <x:v>UNKNOWN</x:v>
      </x:c>
      <x:c r="Y12" s="22" t="n">
        <x:f>INDEX('Все серии'!$AE$9:$AE$53,MATCH("20261001T195351Z_61a2f68c_lm_api/gpt-oss-20b",'Все серии'!$AL$9:$AL$53,0))</x:f>
        <x:v>4096</x:v>
      </x:c>
      <x:c r="Z12" s="22" t="n">
        <x:f>INDEX('Все серии'!$AF$9:$AF$53,MATCH("20261001T195351Z_61a2f68c_lm_api/gpt-oss-20b",'Все серии'!$AL$9:$AL$53,0))</x:f>
        <x:v>1</x:v>
      </x:c>
      <x:c r="AA12" s="19" t="n">
        <x:f>INDEX('Все серии'!$AG$9:$AG$53,MATCH("20261001T195351Z_61a2f68c_lm_api/gpt-oss-20b",'Все серии'!$AL$9:$AL$53,0))</x:f>
        <x:v>0</x:v>
      </x:c>
      <x:c r="AB12" s="22" t="n">
        <x:f>INDEX('Все серии'!$AH$9:$AH$53,MATCH("20261001T195351Z_61a2f68c_lm_api/gpt-oss-20b",'Все серии'!$AL$9:$AL$53,0))</x:f>
        <x:v>512</x:v>
      </x:c>
      <x:c r="AC12" s="22" t="n">
        <x:f>INDEX('Все серии'!$AI$9:$AI$53,MATCH("20261001T195351Z_61a2f68c_lm_api/gpt-oss-20b",'Все серии'!$AL$9:$AL$53,0))</x:f>
        <x:v>42</x:v>
      </x:c>
      <x:c r="AD12" s="24" t="n">
        <x:f>INDEX('Все серии'!$AJ$9:$AJ$53,MATCH("20261001T195351Z_61a2f68c_lm_api/gpt-oss-20b",'Все серии'!$AL$9:$AL$53,0))</x:f>
        <x:v>17.04803119999997</x:v>
      </x:c>
      <x:c r="AE12" s="73" t="str">
        <x:f>INDEX('Все серии'!$AK$9:$AK$53,MATCH("20261001T195351Z_61a2f68c_lm_api/gpt-oss-20b",'Все серии'!$AL$9:$AL$53,0))</x:f>
        <x:v>off-or-low</x:v>
      </x:c>
    </x:row>
    <x:row r="13" ht="46" customHeight="1">
      <x:c r="A13" s="21" t="str">
        <x:f>INDEX('Все серии'!$B$9:$B$53,MATCH("20261001T195754Z_57e25698_lm_api/qwen3.5-9b",'Все серии'!$AL$9:$AL$53,0))</x:f>
        <x:v>qwen3.5-9b</x:v>
      </x:c>
      <x:c r="B13" s="21" t="str">
        <x:f>INDEX('Все серии'!$E$9:$E$53,MATCH("20261001T195754Z_57e25698_lm_api/qwen3.5-9b",'Все серии'!$AL$9:$AL$53,0))</x:f>
        <x:v>measured</x:v>
      </x:c>
      <x:c r="C13" s="22" t="n">
        <x:f>INDEX('Все серии'!$F$9:$F$53,MATCH("20261001T195754Z_57e25698_lm_api/qwen3.5-9b",'Все серии'!$AL$9:$AL$53,0))</x:f>
        <x:v>12</x:v>
      </x:c>
      <x:c r="D13" s="22" t="n">
        <x:f>INDEX('Все серии'!$G$9:$G$53,MATCH("20261001T195754Z_57e25698_lm_api/qwen3.5-9b",'Все серии'!$AL$9:$AL$53,0))</x:f>
        <x:v>5</x:v>
      </x:c>
      <x:c r="E13" s="23" t="n">
        <x:f>INDEX('Все серии'!$H$9:$H$53,MATCH("20261001T195754Z_57e25698_lm_api/qwen3.5-9b",'Все серии'!$AL$9:$AL$53,0))</x:f>
        <x:v>0.4166666666666667</x:v>
      </x:c>
      <x:c r="F13" s="22" t="n">
        <x:f>INDEX('Все серии'!$I$9:$I$53,MATCH("20261001T195754Z_57e25698_lm_api/qwen3.5-9b",'Все серии'!$AL$9:$AL$53,0))</x:f>
        <x:v>0</x:v>
      </x:c>
      <x:c r="G13" s="22" t="n">
        <x:f>INDEX('Все серии'!$J$9:$J$53,MATCH("20261001T195754Z_57e25698_lm_api/qwen3.5-9b",'Все серии'!$AL$9:$AL$53,0))</x:f>
        <x:v>5588</x:v>
      </x:c>
      <x:c r="H13" s="22" t="n">
        <x:f>INDEX('Все серии'!$K$9:$K$53,MATCH("20261001T195754Z_57e25698_lm_api/qwen3.5-9b",'Все серии'!$AL$9:$AL$53,0))</x:f>
        <x:v>425</x:v>
      </x:c>
      <x:c r="I13" s="22" t="n">
        <x:f>INDEX('Все серии'!$L$9:$L$53,MATCH("20261001T195754Z_57e25698_lm_api/qwen3.5-9b",'Все серии'!$AL$9:$AL$53,0))</x:f>
        <x:v>0</x:v>
      </x:c>
      <x:c r="J13" s="22" t="n">
        <x:f>INDEX('Все серии'!$M$9:$M$53,MATCH("20261001T195754Z_57e25698_lm_api/qwen3.5-9b",'Все серии'!$AL$9:$AL$53,0))</x:f>
        <x:v>12</x:v>
      </x:c>
      <x:c r="K13" s="22" t="n">
        <x:f>INDEX('Все серии'!$N$9:$N$53,MATCH("20261001T195754Z_57e25698_lm_api/qwen3.5-9b",'Все серии'!$AL$9:$AL$53,0))</x:f>
        <x:v>12</x:v>
      </x:c>
      <x:c r="L13" s="24" t="n">
        <x:f>INDEX('Все серии'!$Q$9:$Q$53,MATCH("20261001T195754Z_57e25698_lm_api/qwen3.5-9b",'Все серии'!$AL$9:$AL$53,0))</x:f>
        <x:v>0.930146650000097</x:v>
      </x:c>
      <x:c r="M13" s="24" t="n">
        <x:f>INDEX('Все серии'!$R$9:$R$53,MATCH("20261001T195754Z_57e25698_lm_api/qwen3.5-9b",'Все серии'!$AL$9:$AL$53,0))</x:f>
        <x:v>1.364048360000015</x:v>
      </x:c>
      <x:c r="N13" s="24" t="n">
        <x:f>INDEX('Все серии'!$S$9:$S$53,MATCH("20261001T195754Z_57e25698_lm_api/qwen3.5-9b",'Все серии'!$AL$9:$AL$53,0))</x:f>
        <x:v>0.11970999999994092</x:v>
      </x:c>
      <x:c r="O13" s="24" t="n">
        <x:f>INDEX('Все серии'!$T$9:$T$53,MATCH("20261001T195754Z_57e25698_lm_api/qwen3.5-9b",'Все серии'!$AL$9:$AL$53,0))</x:f>
        <x:v>0.11970999999994092</x:v>
      </x:c>
      <x:c r="P13" s="25" t="n">
        <x:f>INDEX('Все серии'!$U$9:$U$53,MATCH("20261001T195754Z_57e25698_lm_api/qwen3.5-9b",'Все серии'!$AL$9:$AL$53,0))</x:f>
        <x:v>46.179640235763664</x:v>
      </x:c>
      <x:c r="Q13" s="24" t="str">
        <x:f>INDEX('Все серии'!$V$9:$V$53,MATCH("20261001T195754Z_57e25698_lm_api/qwen3.5-9b",'Все серии'!$AL$9:$AL$53,0))</x:f>
        <x:v>UNKNOWN</x:v>
      </x:c>
      <x:c r="R13" s="25" t="n">
        <x:f>INDEX('Все серии'!$W$9:$W$53,MATCH("20261001T195754Z_57e25698_lm_api/qwen3.5-9b",'Все серии'!$AL$9:$AL$53,0))</x:f>
        <x:v>43.21</x:v>
      </x:c>
      <x:c r="S13" s="25" t="n">
        <x:f>INDEX('Все серии'!$Y$9:$Y$53,MATCH("20261001T195754Z_57e25698_lm_api/qwen3.5-9b",'Все серии'!$AL$9:$AL$53,0))</x:f>
        <x:v>11.208984375</x:v>
      </x:c>
      <x:c r="T13" s="25" t="n">
        <x:f>INDEX('Все серии'!$Z$9:$Z$53,MATCH("20261001T195754Z_57e25698_lm_api/qwen3.5-9b",'Все серии'!$AL$9:$AL$53,0))</x:f>
        <x:v>20.287044525146484</x:v>
      </x:c>
      <x:c r="U13" s="25" t="n">
        <x:f>INDEX('Все серии'!$AA$9:$AA$53,MATCH("20261001T195754Z_57e25698_lm_api/qwen3.5-9b",'Все серии'!$AL$9:$AL$53,0))</x:f>
        <x:v>10.571967869997025</x:v>
      </x:c>
      <x:c r="V13" s="20" t="str">
        <x:f>INDEX('Все серии'!$AB$9:$AB$53,MATCH("20261001T195754Z_57e25698_lm_api/qwen3.5-9b",'Все серии'!$AL$9:$AL$53,0))</x:f>
        <x:v>Q8_0</x:v>
      </x:c>
      <x:c r="W13" s="20" t="str">
        <x:f>INDEX('Все серии'!$AC$9:$AC$53,MATCH("20261001T195754Z_57e25698_lm_api/qwen3.5-9b",'Все серии'!$AL$9:$AL$53,0))</x:f>
        <x:v>max</x:v>
      </x:c>
      <x:c r="X13" s="20" t="str">
        <x:f>INDEX('Все серии'!$AD$9:$AD$53,MATCH("20261001T195754Z_57e25698_lm_api/qwen3.5-9b",'Все серии'!$AL$9:$AL$53,0))</x:f>
        <x:v>UNKNOWN</x:v>
      </x:c>
      <x:c r="Y13" s="22" t="n">
        <x:f>INDEX('Все серии'!$AE$9:$AE$53,MATCH("20261001T195754Z_57e25698_lm_api/qwen3.5-9b",'Все серии'!$AL$9:$AL$53,0))</x:f>
        <x:v>4096</x:v>
      </x:c>
      <x:c r="Z13" s="22" t="n">
        <x:f>INDEX('Все серии'!$AF$9:$AF$53,MATCH("20261001T195754Z_57e25698_lm_api/qwen3.5-9b",'Все серии'!$AL$9:$AL$53,0))</x:f>
        <x:v>1</x:v>
      </x:c>
      <x:c r="AA13" s="19" t="n">
        <x:f>INDEX('Все серии'!$AG$9:$AG$53,MATCH("20261001T195754Z_57e25698_lm_api/qwen3.5-9b",'Все серии'!$AL$9:$AL$53,0))</x:f>
        <x:v>0</x:v>
      </x:c>
      <x:c r="AB13" s="22" t="n">
        <x:f>INDEX('Все серии'!$AH$9:$AH$53,MATCH("20261001T195754Z_57e25698_lm_api/qwen3.5-9b",'Все серии'!$AL$9:$AL$53,0))</x:f>
        <x:v>512</x:v>
      </x:c>
      <x:c r="AC13" s="22" t="n">
        <x:f>INDEX('Все серии'!$AI$9:$AI$53,MATCH("20261001T195754Z_57e25698_lm_api/qwen3.5-9b",'Все серии'!$AL$9:$AL$53,0))</x:f>
        <x:v>42</x:v>
      </x:c>
      <x:c r="AD13" s="24" t="n">
        <x:f>INDEX('Все серии'!$AJ$9:$AJ$53,MATCH("20261001T195754Z_57e25698_lm_api/qwen3.5-9b",'Все серии'!$AL$9:$AL$53,0))</x:f>
        <x:v>30.1915312000001</x:v>
      </x:c>
      <x:c r="AE13" s="73" t="str">
        <x:f>INDEX('Все серии'!$AK$9:$AK$53,MATCH("20261001T195754Z_57e25698_lm_api/qwen3.5-9b",'Все серии'!$AL$9:$AL$53,0))</x:f>
        <x:v>off-or-low</x:v>
      </x:c>
    </x:row>
    <x:row r="14" ht="46" customHeight="1">
      <x:c r="A14" s="21" t="str">
        <x:f>INDEX('Все серии'!$B$9:$B$53,MATCH("20261001T195754Z_57e25698_lm_api/gemma-4-12b-it",'Все серии'!$AL$9:$AL$53,0))</x:f>
        <x:v>gemma-4-12b-it</x:v>
      </x:c>
      <x:c r="B14" s="21" t="str">
        <x:f>INDEX('Все серии'!$E$9:$E$53,MATCH("20261001T195754Z_57e25698_lm_api/gemma-4-12b-it",'Все серии'!$AL$9:$AL$53,0))</x:f>
        <x:v>measured</x:v>
      </x:c>
      <x:c r="C14" s="22" t="n">
        <x:f>INDEX('Все серии'!$F$9:$F$53,MATCH("20261001T195754Z_57e25698_lm_api/gemma-4-12b-it",'Все серии'!$AL$9:$AL$53,0))</x:f>
        <x:v>12</x:v>
      </x:c>
      <x:c r="D14" s="22" t="n">
        <x:f>INDEX('Все серии'!$G$9:$G$53,MATCH("20261001T195754Z_57e25698_lm_api/gemma-4-12b-it",'Все серии'!$AL$9:$AL$53,0))</x:f>
        <x:v>8</x:v>
      </x:c>
      <x:c r="E14" s="23" t="n">
        <x:f>INDEX('Все серии'!$H$9:$H$53,MATCH("20261001T195754Z_57e25698_lm_api/gemma-4-12b-it",'Все серии'!$AL$9:$AL$53,0))</x:f>
        <x:v>0.6666666666666666</x:v>
      </x:c>
      <x:c r="F14" s="22" t="n">
        <x:f>INDEX('Все серии'!$I$9:$I$53,MATCH("20261001T195754Z_57e25698_lm_api/gemma-4-12b-it",'Все серии'!$AL$9:$AL$53,0))</x:f>
        <x:v>0</x:v>
      </x:c>
      <x:c r="G14" s="22" t="n">
        <x:f>INDEX('Все серии'!$J$9:$J$53,MATCH("20261001T195754Z_57e25698_lm_api/gemma-4-12b-it",'Все серии'!$AL$9:$AL$53,0))</x:f>
        <x:v>5764</x:v>
      </x:c>
      <x:c r="H14" s="22" t="n">
        <x:f>INDEX('Все серии'!$K$9:$K$53,MATCH("20261001T195754Z_57e25698_lm_api/gemma-4-12b-it",'Все серии'!$AL$9:$AL$53,0))</x:f>
        <x:v>481</x:v>
      </x:c>
      <x:c r="I14" s="22" t="n">
        <x:f>INDEX('Все серии'!$L$9:$L$53,MATCH("20261001T195754Z_57e25698_lm_api/gemma-4-12b-it",'Все серии'!$AL$9:$AL$53,0))</x:f>
        <x:v>0</x:v>
      </x:c>
      <x:c r="J14" s="22" t="n">
        <x:f>INDEX('Все серии'!$M$9:$M$53,MATCH("20261001T195754Z_57e25698_lm_api/gemma-4-12b-it",'Все серии'!$AL$9:$AL$53,0))</x:f>
        <x:v>12</x:v>
      </x:c>
      <x:c r="K14" s="22" t="n">
        <x:f>INDEX('Все серии'!$N$9:$N$53,MATCH("20261001T195754Z_57e25698_lm_api/gemma-4-12b-it",'Все серии'!$AL$9:$AL$53,0))</x:f>
        <x:v>12</x:v>
      </x:c>
      <x:c r="L14" s="24" t="n">
        <x:f>INDEX('Все серии'!$Q$9:$Q$53,MATCH("20261001T195754Z_57e25698_lm_api/gemma-4-12b-it",'Все серии'!$AL$9:$AL$53,0))</x:f>
        <x:v>0.9898497499989389</x:v>
      </x:c>
      <x:c r="M14" s="24" t="n">
        <x:f>INDEX('Все серии'!$R$9:$R$53,MATCH("20261001T195754Z_57e25698_lm_api/gemma-4-12b-it",'Все серии'!$AL$9:$AL$53,0))</x:f>
        <x:v>1.525098935000005</x:v>
      </x:c>
      <x:c r="N14" s="24" t="n">
        <x:f>INDEX('Все серии'!$S$9:$S$53,MATCH("20261001T195754Z_57e25698_lm_api/gemma-4-12b-it",'Все серии'!$AL$9:$AL$53,0))</x:f>
        <x:v>0.29901109999991604</x:v>
      </x:c>
      <x:c r="O14" s="24" t="n">
        <x:f>INDEX('Все серии'!$T$9:$T$53,MATCH("20261001T195754Z_57e25698_lm_api/gemma-4-12b-it",'Все серии'!$AL$9:$AL$53,0))</x:f>
        <x:v>0.29901109999991604</x:v>
      </x:c>
      <x:c r="P14" s="25" t="n">
        <x:f>INDEX('Все серии'!$U$9:$U$53,MATCH("20261001T195754Z_57e25698_lm_api/gemma-4-12b-it",'Все серии'!$AL$9:$AL$53,0))</x:f>
        <x:v>59.942019796854346</x:v>
      </x:c>
      <x:c r="Q14" s="24" t="str">
        <x:f>INDEX('Все серии'!$V$9:$V$53,MATCH("20261001T195754Z_57e25698_lm_api/gemma-4-12b-it",'Все серии'!$AL$9:$AL$53,0))</x:f>
        <x:v>UNKNOWN</x:v>
      </x:c>
      <x:c r="R14" s="25" t="n">
        <x:f>INDEX('Все серии'!$W$9:$W$53,MATCH("20261001T195754Z_57e25698_lm_api/gemma-4-12b-it",'Все серии'!$AL$9:$AL$53,0))</x:f>
        <x:v>47.915000000000006</x:v>
      </x:c>
      <x:c r="S14" s="25" t="n">
        <x:f>INDEX('Все серии'!$Y$9:$Y$53,MATCH("20261001T195754Z_57e25698_lm_api/gemma-4-12b-it",'Все серии'!$AL$9:$AL$53,0))</x:f>
        <x:v>8.45703125</x:v>
      </x:c>
      <x:c r="T14" s="25" t="n">
        <x:f>INDEX('Все серии'!$Z$9:$Z$53,MATCH("20261001T195754Z_57e25698_lm_api/gemma-4-12b-it",'Все серии'!$AL$9:$AL$53,0))</x:f>
        <x:v>17.52806854248047</x:v>
      </x:c>
      <x:c r="U14" s="25" t="n">
        <x:f>INDEX('Все серии'!$AA$9:$AA$53,MATCH("20261001T195754Z_57e25698_lm_api/gemma-4-12b-it",'Все серии'!$AL$9:$AL$53,0))</x:f>
        <x:v>6.495087593793869</x:v>
      </x:c>
      <x:c r="V14" s="20" t="str">
        <x:f>INDEX('Все серии'!$AB$9:$AB$53,MATCH("20261001T195754Z_57e25698_lm_api/gemma-4-12b-it",'Все серии'!$AL$9:$AL$53,0))</x:f>
        <x:v>Q4_K_S</x:v>
      </x:c>
      <x:c r="W14" s="20" t="str">
        <x:f>INDEX('Все серии'!$AC$9:$AC$53,MATCH("20261001T195754Z_57e25698_lm_api/gemma-4-12b-it",'Все серии'!$AL$9:$AL$53,0))</x:f>
        <x:v>max</x:v>
      </x:c>
      <x:c r="X14" s="20" t="str">
        <x:f>INDEX('Все серии'!$AD$9:$AD$53,MATCH("20261001T195754Z_57e25698_lm_api/gemma-4-12b-it",'Все серии'!$AL$9:$AL$53,0))</x:f>
        <x:v>UNKNOWN</x:v>
      </x:c>
      <x:c r="Y14" s="22" t="n">
        <x:f>INDEX('Все серии'!$AE$9:$AE$53,MATCH("20261001T195754Z_57e25698_lm_api/gemma-4-12b-it",'Все серии'!$AL$9:$AL$53,0))</x:f>
        <x:v>4096</x:v>
      </x:c>
      <x:c r="Z14" s="22" t="n">
        <x:f>INDEX('Все серии'!$AF$9:$AF$53,MATCH("20261001T195754Z_57e25698_lm_api/gemma-4-12b-it",'Все серии'!$AL$9:$AL$53,0))</x:f>
        <x:v>1</x:v>
      </x:c>
      <x:c r="AA14" s="19" t="n">
        <x:f>INDEX('Все серии'!$AG$9:$AG$53,MATCH("20261001T195754Z_57e25698_lm_api/gemma-4-12b-it",'Все серии'!$AL$9:$AL$53,0))</x:f>
        <x:v>0</x:v>
      </x:c>
      <x:c r="AB14" s="22" t="n">
        <x:f>INDEX('Все серии'!$AH$9:$AH$53,MATCH("20261001T195754Z_57e25698_lm_api/gemma-4-12b-it",'Все серии'!$AL$9:$AL$53,0))</x:f>
        <x:v>512</x:v>
      </x:c>
      <x:c r="AC14" s="22" t="n">
        <x:f>INDEX('Все серии'!$AI$9:$AI$53,MATCH("20261001T195754Z_57e25698_lm_api/gemma-4-12b-it",'Все серии'!$AL$9:$AL$53,0))</x:f>
        <x:v>42</x:v>
      </x:c>
      <x:c r="AD14" s="24" t="n">
        <x:f>INDEX('Все серии'!$AJ$9:$AJ$53,MATCH("20261001T195754Z_57e25698_lm_api/gemma-4-12b-it",'Все серии'!$AL$9:$AL$53,0))</x:f>
        <x:v>8.272689600000376</x:v>
      </x:c>
      <x:c r="AE14" s="73" t="str">
        <x:f>INDEX('Все серии'!$AK$9:$AK$53,MATCH("20261001T195754Z_57e25698_lm_api/gemma-4-12b-it",'Все серии'!$AL$9:$AL$53,0))</x:f>
        <x:v>off-or-low</x:v>
      </x:c>
    </x:row>
    <x:row r="15" ht="46" customHeight="1">
      <x:c r="A15" s="21" t="str">
        <x:f>INDEX('Все серии'!$B$9:$B$53,MATCH("20261001T195754Z_57e25698_lm_api/minicpm5-1b",'Все серии'!$AL$9:$AL$53,0))</x:f>
        <x:v>minicpm5-1b</x:v>
      </x:c>
      <x:c r="B15" s="21" t="str">
        <x:f>INDEX('Все серии'!$E$9:$E$53,MATCH("20261001T195754Z_57e25698_lm_api/minicpm5-1b",'Все серии'!$AL$9:$AL$53,0))</x:f>
        <x:v>measured</x:v>
      </x:c>
      <x:c r="C15" s="22" t="n">
        <x:f>INDEX('Все серии'!$F$9:$F$53,MATCH("20261001T195754Z_57e25698_lm_api/minicpm5-1b",'Все серии'!$AL$9:$AL$53,0))</x:f>
        <x:v>12</x:v>
      </x:c>
      <x:c r="D15" s="22" t="n">
        <x:f>INDEX('Все серии'!$G$9:$G$53,MATCH("20261001T195754Z_57e25698_lm_api/minicpm5-1b",'Все серии'!$AL$9:$AL$53,0))</x:f>
        <x:v>1</x:v>
      </x:c>
      <x:c r="E15" s="23" t="n">
        <x:f>INDEX('Все серии'!$H$9:$H$53,MATCH("20261001T195754Z_57e25698_lm_api/minicpm5-1b",'Все серии'!$AL$9:$AL$53,0))</x:f>
        <x:v>0.08333333333333333</x:v>
      </x:c>
      <x:c r="F15" s="22" t="n">
        <x:f>INDEX('Все серии'!$I$9:$I$53,MATCH("20261001T195754Z_57e25698_lm_api/minicpm5-1b",'Все серии'!$AL$9:$AL$53,0))</x:f>
        <x:v>0</x:v>
      </x:c>
      <x:c r="G15" s="22" t="n">
        <x:f>INDEX('Все серии'!$J$9:$J$53,MATCH("20261001T195754Z_57e25698_lm_api/minicpm5-1b",'Все серии'!$AL$9:$AL$53,0))</x:f>
        <x:v>5289</x:v>
      </x:c>
      <x:c r="H15" s="22" t="n">
        <x:f>INDEX('Все серии'!$K$9:$K$53,MATCH("20261001T195754Z_57e25698_lm_api/minicpm5-1b",'Все серии'!$AL$9:$AL$53,0))</x:f>
        <x:v>711</x:v>
      </x:c>
      <x:c r="I15" s="22" t="n">
        <x:f>INDEX('Все серии'!$L$9:$L$53,MATCH("20261001T195754Z_57e25698_lm_api/minicpm5-1b",'Все серии'!$AL$9:$AL$53,0))</x:f>
        <x:v>0</x:v>
      </x:c>
      <x:c r="J15" s="22" t="n">
        <x:f>INDEX('Все серии'!$M$9:$M$53,MATCH("20261001T195754Z_57e25698_lm_api/minicpm5-1b",'Все серии'!$AL$9:$AL$53,0))</x:f>
        <x:v>12</x:v>
      </x:c>
      <x:c r="K15" s="22" t="n">
        <x:f>INDEX('Все серии'!$N$9:$N$53,MATCH("20261001T195754Z_57e25698_lm_api/minicpm5-1b",'Все серии'!$AL$9:$AL$53,0))</x:f>
        <x:v>12</x:v>
      </x:c>
      <x:c r="L15" s="24" t="n">
        <x:f>INDEX('Все серии'!$Q$9:$Q$53,MATCH("20261001T195754Z_57e25698_lm_api/minicpm5-1b",'Все серии'!$AL$9:$AL$53,0))</x:f>
        <x:v>0.24073404999944614</x:v>
      </x:c>
      <x:c r="M15" s="24" t="n">
        <x:f>INDEX('Все серии'!$R$9:$R$53,MATCH("20261001T195754Z_57e25698_lm_api/minicpm5-1b",'Все серии'!$AL$9:$AL$53,0))</x:f>
        <x:v>0.537013339999612</x:v>
      </x:c>
      <x:c r="N15" s="24" t="n">
        <x:f>INDEX('Все серии'!$S$9:$S$53,MATCH("20261001T195754Z_57e25698_lm_api/minicpm5-1b",'Все серии'!$AL$9:$AL$53,0))</x:f>
        <x:v>0.021818349999193742</x:v>
      </x:c>
      <x:c r="O15" s="24" t="n">
        <x:f>INDEX('Все серии'!$T$9:$T$53,MATCH("20261001T195754Z_57e25698_lm_api/minicpm5-1b",'Все серии'!$AL$9:$AL$53,0))</x:f>
        <x:v>0.021818349999193742</x:v>
      </x:c>
      <x:c r="P15" s="25" t="n">
        <x:f>INDEX('Все серии'!$U$9:$U$53,MATCH("20261001T195754Z_57e25698_lm_api/minicpm5-1b",'Все серии'!$AL$9:$AL$53,0))</x:f>
        <x:v>251.66067606503805</x:v>
      </x:c>
      <x:c r="Q15" s="24" t="str">
        <x:f>INDEX('Все серии'!$V$9:$V$53,MATCH("20261001T195754Z_57e25698_lm_api/minicpm5-1b",'Все серии'!$AL$9:$AL$53,0))</x:f>
        <x:v>UNKNOWN</x:v>
      </x:c>
      <x:c r="R15" s="25" t="n">
        <x:f>INDEX('Все серии'!$W$9:$W$53,MATCH("20261001T195754Z_57e25698_lm_api/minicpm5-1b",'Все серии'!$AL$9:$AL$53,0))</x:f>
        <x:v>247.675</x:v>
      </x:c>
      <x:c r="S15" s="25" t="n">
        <x:f>INDEX('Все серии'!$Y$9:$Y$53,MATCH("20261001T195754Z_57e25698_lm_api/minicpm5-1b",'Все серии'!$AL$9:$AL$53,0))</x:f>
        <x:v>2.14453125</x:v>
      </x:c>
      <x:c r="T15" s="25" t="n">
        <x:f>INDEX('Все серии'!$Z$9:$Z$53,MATCH("20261001T195754Z_57e25698_lm_api/minicpm5-1b",'Все серии'!$AL$9:$AL$53,0))</x:f>
        <x:v>11.796154022216797</x:v>
      </x:c>
      <x:c r="U15" s="25" t="n">
        <x:f>INDEX('Все серии'!$AA$9:$AA$53,MATCH("20261001T195754Z_57e25698_lm_api/minicpm5-1b",'Все серии'!$AL$9:$AL$53,0))</x:f>
        <x:v>1.0743077993392944</x:v>
      </x:c>
      <x:c r="V15" s="20" t="str">
        <x:f>INDEX('Все серии'!$AB$9:$AB$53,MATCH("20261001T195754Z_57e25698_lm_api/minicpm5-1b",'Все серии'!$AL$9:$AL$53,0))</x:f>
        <x:v>Q8_0</x:v>
      </x:c>
      <x:c r="W15" s="20" t="str">
        <x:f>INDEX('Все серии'!$AC$9:$AC$53,MATCH("20261001T195754Z_57e25698_lm_api/minicpm5-1b",'Все серии'!$AL$9:$AL$53,0))</x:f>
        <x:v>max</x:v>
      </x:c>
      <x:c r="X15" s="20" t="str">
        <x:f>INDEX('Все серии'!$AD$9:$AD$53,MATCH("20261001T195754Z_57e25698_lm_api/minicpm5-1b",'Все серии'!$AL$9:$AL$53,0))</x:f>
        <x:v>UNKNOWN</x:v>
      </x:c>
      <x:c r="Y15" s="22" t="n">
        <x:f>INDEX('Все серии'!$AE$9:$AE$53,MATCH("20261001T195754Z_57e25698_lm_api/minicpm5-1b",'Все серии'!$AL$9:$AL$53,0))</x:f>
        <x:v>4096</x:v>
      </x:c>
      <x:c r="Z15" s="22" t="n">
        <x:f>INDEX('Все серии'!$AF$9:$AF$53,MATCH("20261001T195754Z_57e25698_lm_api/minicpm5-1b",'Все серии'!$AL$9:$AL$53,0))</x:f>
        <x:v>1</x:v>
      </x:c>
      <x:c r="AA15" s="19" t="n">
        <x:f>INDEX('Все серии'!$AG$9:$AG$53,MATCH("20261001T195754Z_57e25698_lm_api/minicpm5-1b",'Все серии'!$AL$9:$AL$53,0))</x:f>
        <x:v>0</x:v>
      </x:c>
      <x:c r="AB15" s="22" t="n">
        <x:f>INDEX('Все серии'!$AH$9:$AH$53,MATCH("20261001T195754Z_57e25698_lm_api/minicpm5-1b",'Все серии'!$AL$9:$AL$53,0))</x:f>
        <x:v>512</x:v>
      </x:c>
      <x:c r="AC15" s="22" t="n">
        <x:f>INDEX('Все серии'!$AI$9:$AI$53,MATCH("20261001T195754Z_57e25698_lm_api/minicpm5-1b",'Все серии'!$AL$9:$AL$53,0))</x:f>
        <x:v>42</x:v>
      </x:c>
      <x:c r="AD15" s="24" t="n">
        <x:f>INDEX('Все серии'!$AJ$9:$AJ$53,MATCH("20261001T195754Z_57e25698_lm_api/minicpm5-1b",'Все серии'!$AL$9:$AL$53,0))</x:f>
        <x:v>2.244291200000589</x:v>
      </x:c>
      <x:c r="AE15" s="73" t="str">
        <x:f>INDEX('Все серии'!$AK$9:$AK$53,MATCH("20261001T195754Z_57e25698_lm_api/minicpm5-1b",'Все серии'!$AL$9:$AL$53,0))</x:f>
        <x:v>off-or-low</x:v>
      </x:c>
    </x:row>
    <x:row r="16" ht="46" customHeight="1">
      <x:c r="A16" s="21" t="str">
        <x:f>INDEX('Все серии'!$B$9:$B$53,MATCH("20261001T195754Z_57e25698_lm_api/webworld-8b-i1",'Все серии'!$AL$9:$AL$53,0))</x:f>
        <x:v>webworld-8b-i1</x:v>
      </x:c>
      <x:c r="B16" s="21" t="str">
        <x:f>INDEX('Все серии'!$E$9:$E$53,MATCH("20261001T195754Z_57e25698_lm_api/webworld-8b-i1",'Все серии'!$AL$9:$AL$53,0))</x:f>
        <x:v>measured</x:v>
      </x:c>
      <x:c r="C16" s="22" t="n">
        <x:f>INDEX('Все серии'!$F$9:$F$53,MATCH("20261001T195754Z_57e25698_lm_api/webworld-8b-i1",'Все серии'!$AL$9:$AL$53,0))</x:f>
        <x:v>12</x:v>
      </x:c>
      <x:c r="D16" s="22" t="n">
        <x:f>INDEX('Все серии'!$G$9:$G$53,MATCH("20261001T195754Z_57e25698_lm_api/webworld-8b-i1",'Все серии'!$AL$9:$AL$53,0))</x:f>
        <x:v>6</x:v>
      </x:c>
      <x:c r="E16" s="23" t="n">
        <x:f>INDEX('Все серии'!$H$9:$H$53,MATCH("20261001T195754Z_57e25698_lm_api/webworld-8b-i1",'Все серии'!$AL$9:$AL$53,0))</x:f>
        <x:v>0.5</x:v>
      </x:c>
      <x:c r="F16" s="22" t="n">
        <x:f>INDEX('Все серии'!$I$9:$I$53,MATCH("20261001T195754Z_57e25698_lm_api/webworld-8b-i1",'Все серии'!$AL$9:$AL$53,0))</x:f>
        <x:v>0</x:v>
      </x:c>
      <x:c r="G16" s="22" t="n">
        <x:f>INDEX('Все серии'!$J$9:$J$53,MATCH("20261001T195754Z_57e25698_lm_api/webworld-8b-i1",'Все серии'!$AL$9:$AL$53,0))</x:f>
        <x:v>5493</x:v>
      </x:c>
      <x:c r="H16" s="22" t="n">
        <x:f>INDEX('Все серии'!$K$9:$K$53,MATCH("20261001T195754Z_57e25698_lm_api/webworld-8b-i1",'Все серии'!$AL$9:$AL$53,0))</x:f>
        <x:v>371</x:v>
      </x:c>
      <x:c r="I16" s="22" t="n">
        <x:f>INDEX('Все серии'!$L$9:$L$53,MATCH("20261001T195754Z_57e25698_lm_api/webworld-8b-i1",'Все серии'!$AL$9:$AL$53,0))</x:f>
        <x:v>0</x:v>
      </x:c>
      <x:c r="J16" s="22" t="n">
        <x:f>INDEX('Все серии'!$M$9:$M$53,MATCH("20261001T195754Z_57e25698_lm_api/webworld-8b-i1",'Все серии'!$AL$9:$AL$53,0))</x:f>
        <x:v>12</x:v>
      </x:c>
      <x:c r="K16" s="22" t="n">
        <x:f>INDEX('Все серии'!$N$9:$N$53,MATCH("20261001T195754Z_57e25698_lm_api/webworld-8b-i1",'Все серии'!$AL$9:$AL$53,0))</x:f>
        <x:v>12</x:v>
      </x:c>
      <x:c r="L16" s="24" t="n">
        <x:f>INDEX('Все серии'!$Q$9:$Q$53,MATCH("20261001T195754Z_57e25698_lm_api/webworld-8b-i1",'Все серии'!$AL$9:$AL$53,0))</x:f>
        <x:v>0.5479371499995978</x:v>
      </x:c>
      <x:c r="M16" s="24" t="n">
        <x:f>INDEX('Все серии'!$R$9:$R$53,MATCH("20261001T195754Z_57e25698_lm_api/webworld-8b-i1",'Все серии'!$AL$9:$AL$53,0))</x:f>
        <x:v>0.7984430899996369</x:v>
      </x:c>
      <x:c r="N16" s="24" t="n">
        <x:f>INDEX('Все серии'!$S$9:$S$53,MATCH("20261001T195754Z_57e25698_lm_api/webworld-8b-i1",'Все серии'!$AL$9:$AL$53,0))</x:f>
        <x:v>0.0707093500004703</x:v>
      </x:c>
      <x:c r="O16" s="24" t="n">
        <x:f>INDEX('Все серии'!$T$9:$T$53,MATCH("20261001T195754Z_57e25698_lm_api/webworld-8b-i1",'Все серии'!$AL$9:$AL$53,0))</x:f>
        <x:v>0.0707093500004703</x:v>
      </x:c>
      <x:c r="P16" s="25" t="n">
        <x:f>INDEX('Все серии'!$U$9:$U$53,MATCH("20261001T195754Z_57e25698_lm_api/webworld-8b-i1",'Все серии'!$AL$9:$AL$53,0))</x:f>
        <x:v>63.289384787453606</x:v>
      </x:c>
      <x:c r="Q16" s="24" t="str">
        <x:f>INDEX('Все серии'!$V$9:$V$53,MATCH("20261001T195754Z_57e25698_lm_api/webworld-8b-i1",'Все серии'!$AL$9:$AL$53,0))</x:f>
        <x:v>UNKNOWN</x:v>
      </x:c>
      <x:c r="R16" s="25" t="n">
        <x:f>INDEX('Все серии'!$W$9:$W$53,MATCH("20261001T195754Z_57e25698_lm_api/webworld-8b-i1",'Все серии'!$AL$9:$AL$53,0))</x:f>
        <x:v>58.620000000000005</x:v>
      </x:c>
      <x:c r="S16" s="25" t="n">
        <x:f>INDEX('Все серии'!$Y$9:$Y$53,MATCH("20261001T195754Z_57e25698_lm_api/webworld-8b-i1",'Все серии'!$AL$9:$AL$53,0))</x:f>
        <x:v>7.587890625</x:v>
      </x:c>
      <x:c r="T16" s="25" t="n">
        <x:f>INDEX('Все серии'!$Z$9:$Z$53,MATCH("20261001T195754Z_57e25698_lm_api/webworld-8b-i1",'Все серии'!$AL$9:$AL$53,0))</x:f>
        <x:v>16.880290985107422</x:v>
      </x:c>
      <x:c r="U16" s="25" t="n">
        <x:f>INDEX('Все серии'!$AA$9:$AA$53,MATCH("20261001T195754Z_57e25698_lm_api/webworld-8b-i1",'Все серии'!$AL$9:$AL$53,0))</x:f>
        <x:v>6.263983190059662</x:v>
      </x:c>
      <x:c r="V16" s="20" t="str">
        <x:f>INDEX('Все серии'!$AB$9:$AB$53,MATCH("20261001T195754Z_57e25698_lm_api/webworld-8b-i1",'Все серии'!$AL$9:$AL$53,0))</x:f>
        <x:v>Q6_K</x:v>
      </x:c>
      <x:c r="W16" s="20" t="str">
        <x:f>INDEX('Все серии'!$AC$9:$AC$53,MATCH("20261001T195754Z_57e25698_lm_api/webworld-8b-i1",'Все серии'!$AL$9:$AL$53,0))</x:f>
        <x:v>max</x:v>
      </x:c>
      <x:c r="X16" s="20" t="str">
        <x:f>INDEX('Все серии'!$AD$9:$AD$53,MATCH("20261001T195754Z_57e25698_lm_api/webworld-8b-i1",'Все серии'!$AL$9:$AL$53,0))</x:f>
        <x:v>UNKNOWN</x:v>
      </x:c>
      <x:c r="Y16" s="22" t="n">
        <x:f>INDEX('Все серии'!$AE$9:$AE$53,MATCH("20261001T195754Z_57e25698_lm_api/webworld-8b-i1",'Все серии'!$AL$9:$AL$53,0))</x:f>
        <x:v>4096</x:v>
      </x:c>
      <x:c r="Z16" s="22" t="n">
        <x:f>INDEX('Все серии'!$AF$9:$AF$53,MATCH("20261001T195754Z_57e25698_lm_api/webworld-8b-i1",'Все серии'!$AL$9:$AL$53,0))</x:f>
        <x:v>1</x:v>
      </x:c>
      <x:c r="AA16" s="19" t="n">
        <x:f>INDEX('Все серии'!$AG$9:$AG$53,MATCH("20261001T195754Z_57e25698_lm_api/webworld-8b-i1",'Все серии'!$AL$9:$AL$53,0))</x:f>
        <x:v>0</x:v>
      </x:c>
      <x:c r="AB16" s="22" t="n">
        <x:f>INDEX('Все серии'!$AH$9:$AH$53,MATCH("20261001T195754Z_57e25698_lm_api/webworld-8b-i1",'Все серии'!$AL$9:$AL$53,0))</x:f>
        <x:v>512</x:v>
      </x:c>
      <x:c r="AC16" s="22" t="n">
        <x:f>INDEX('Все серии'!$AI$9:$AI$53,MATCH("20261001T195754Z_57e25698_lm_api/webworld-8b-i1",'Все серии'!$AL$9:$AL$53,0))</x:f>
        <x:v>42</x:v>
      </x:c>
      <x:c r="AD16" s="24" t="n">
        <x:f>INDEX('Все серии'!$AJ$9:$AJ$53,MATCH("20261001T195754Z_57e25698_lm_api/webworld-8b-i1",'Все серии'!$AL$9:$AL$53,0))</x:f>
        <x:v>6.634262300000046</x:v>
      </x:c>
      <x:c r="AE16" s="73" t="str">
        <x:f>INDEX('Все серии'!$AK$9:$AK$53,MATCH("20261001T195754Z_57e25698_lm_api/webworld-8b-i1",'Все серии'!$AL$9:$AL$53,0))</x:f>
        <x:v>off-or-low</x:v>
      </x:c>
    </x:row>
    <x:row r="17" ht="46" customHeight="1">
      <x:c r="A17" s="21" t="str">
        <x:f>INDEX('Все серии'!$B$9:$B$53,MATCH("20261001T195754Z_57e25698_lm_api/granite-4.1-8b",'Все серии'!$AL$9:$AL$53,0))</x:f>
        <x:v>granite-4.1-8b</x:v>
      </x:c>
      <x:c r="B17" s="21" t="str">
        <x:f>INDEX('Все серии'!$E$9:$E$53,MATCH("20261001T195754Z_57e25698_lm_api/granite-4.1-8b",'Все серии'!$AL$9:$AL$53,0))</x:f>
        <x:v>measured</x:v>
      </x:c>
      <x:c r="C17" s="22" t="n">
        <x:f>INDEX('Все серии'!$F$9:$F$53,MATCH("20261001T195754Z_57e25698_lm_api/granite-4.1-8b",'Все серии'!$AL$9:$AL$53,0))</x:f>
        <x:v>12</x:v>
      </x:c>
      <x:c r="D17" s="22" t="n">
        <x:f>INDEX('Все серии'!$G$9:$G$53,MATCH("20261001T195754Z_57e25698_lm_api/granite-4.1-8b",'Все серии'!$AL$9:$AL$53,0))</x:f>
        <x:v>6</x:v>
      </x:c>
      <x:c r="E17" s="23" t="n">
        <x:f>INDEX('Все серии'!$H$9:$H$53,MATCH("20261001T195754Z_57e25698_lm_api/granite-4.1-8b",'Все серии'!$AL$9:$AL$53,0))</x:f>
        <x:v>0.5</x:v>
      </x:c>
      <x:c r="F17" s="22" t="n">
        <x:f>INDEX('Все серии'!$I$9:$I$53,MATCH("20261001T195754Z_57e25698_lm_api/granite-4.1-8b",'Все серии'!$AL$9:$AL$53,0))</x:f>
        <x:v>0</x:v>
      </x:c>
      <x:c r="G17" s="22" t="n">
        <x:f>INDEX('Все серии'!$J$9:$J$53,MATCH("20261001T195754Z_57e25698_lm_api/granite-4.1-8b",'Все серии'!$AL$9:$AL$53,0))</x:f>
        <x:v>5254</x:v>
      </x:c>
      <x:c r="H17" s="22" t="n">
        <x:f>INDEX('Все серии'!$K$9:$K$53,MATCH("20261001T195754Z_57e25698_lm_api/granite-4.1-8b",'Все серии'!$AL$9:$AL$53,0))</x:f>
        <x:v>555</x:v>
      </x:c>
      <x:c r="I17" s="22" t="n">
        <x:f>INDEX('Все серии'!$L$9:$L$53,MATCH("20261001T195754Z_57e25698_lm_api/granite-4.1-8b",'Все серии'!$AL$9:$AL$53,0))</x:f>
        <x:v>0</x:v>
      </x:c>
      <x:c r="J17" s="22" t="n">
        <x:f>INDEX('Все серии'!$M$9:$M$53,MATCH("20261001T195754Z_57e25698_lm_api/granite-4.1-8b",'Все серии'!$AL$9:$AL$53,0))</x:f>
        <x:v>12</x:v>
      </x:c>
      <x:c r="K17" s="22" t="n">
        <x:f>INDEX('Все серии'!$N$9:$N$53,MATCH("20261001T195754Z_57e25698_lm_api/granite-4.1-8b",'Все серии'!$AL$9:$AL$53,0))</x:f>
        <x:v>12</x:v>
      </x:c>
      <x:c r="L17" s="24" t="n">
        <x:f>INDEX('Все серии'!$Q$9:$Q$53,MATCH("20261001T195754Z_57e25698_lm_api/granite-4.1-8b",'Все серии'!$AL$9:$AL$53,0))</x:f>
        <x:v>0.7998342499995488</x:v>
      </x:c>
      <x:c r="M17" s="24" t="n">
        <x:f>INDEX('Все серии'!$R$9:$R$53,MATCH("20261001T195754Z_57e25698_lm_api/granite-4.1-8b",'Все серии'!$AL$9:$AL$53,0))</x:f>
        <x:v>1.465105129999756</x:v>
      </x:c>
      <x:c r="N17" s="24" t="n">
        <x:f>INDEX('Все серии'!$S$9:$S$53,MATCH("20261001T195754Z_57e25698_lm_api/granite-4.1-8b",'Все серии'!$AL$9:$AL$53,0))</x:f>
        <x:v>0.08985475000008591</x:v>
      </x:c>
      <x:c r="O17" s="24" t="n">
        <x:f>INDEX('Все серии'!$T$9:$T$53,MATCH("20261001T195754Z_57e25698_lm_api/granite-4.1-8b",'Все серии'!$AL$9:$AL$53,0))</x:f>
        <x:v>0.08985475000008591</x:v>
      </x:c>
      <x:c r="P17" s="25" t="n">
        <x:f>INDEX('Все серии'!$U$9:$U$53,MATCH("20261001T195754Z_57e25698_lm_api/granite-4.1-8b",'Все серии'!$AL$9:$AL$53,0))</x:f>
        <x:v>74.81658005347025</x:v>
      </x:c>
      <x:c r="Q17" s="24" t="str">
        <x:f>INDEX('Все серии'!$V$9:$V$53,MATCH("20261001T195754Z_57e25698_lm_api/granite-4.1-8b",'Все серии'!$AL$9:$AL$53,0))</x:f>
        <x:v>UNKNOWN</x:v>
      </x:c>
      <x:c r="R17" s="25" t="n">
        <x:f>INDEX('Все серии'!$W$9:$W$53,MATCH("20261001T195754Z_57e25698_lm_api/granite-4.1-8b",'Все серии'!$AL$9:$AL$53,0))</x:f>
        <x:v>60.28</x:v>
      </x:c>
      <x:c r="S17" s="25" t="n">
        <x:f>INDEX('Все серии'!$Y$9:$Y$53,MATCH("20261001T195754Z_57e25698_lm_api/granite-4.1-8b",'Все серии'!$AL$9:$AL$53,0))</x:f>
        <x:v>6.63671875</x:v>
      </x:c>
      <x:c r="T17" s="25" t="n">
        <x:f>INDEX('Все серии'!$Z$9:$Z$53,MATCH("20261001T195754Z_57e25698_lm_api/granite-4.1-8b",'Все серии'!$AL$9:$AL$53,0))</x:f>
        <x:v>16.438034057617188</x:v>
      </x:c>
      <x:c r="U17" s="25" t="n">
        <x:f>INDEX('Все серии'!$AA$9:$AA$53,MATCH("20261001T195754Z_57e25698_lm_api/granite-4.1-8b",'Все серии'!$AL$9:$AL$53,0))</x:f>
        <x:v>4.980634093284607</x:v>
      </x:c>
      <x:c r="V17" s="20" t="str">
        <x:f>INDEX('Все серии'!$AB$9:$AB$53,MATCH("20261001T195754Z_57e25698_lm_api/granite-4.1-8b",'Все серии'!$AL$9:$AL$53,0))</x:f>
        <x:v>Q4_K_M</x:v>
      </x:c>
      <x:c r="W17" s="20" t="str">
        <x:f>INDEX('Все серии'!$AC$9:$AC$53,MATCH("20261001T195754Z_57e25698_lm_api/granite-4.1-8b",'Все серии'!$AL$9:$AL$53,0))</x:f>
        <x:v>max</x:v>
      </x:c>
      <x:c r="X17" s="20" t="str">
        <x:f>INDEX('Все серии'!$AD$9:$AD$53,MATCH("20261001T195754Z_57e25698_lm_api/granite-4.1-8b",'Все серии'!$AL$9:$AL$53,0))</x:f>
        <x:v>UNKNOWN</x:v>
      </x:c>
      <x:c r="Y17" s="22" t="n">
        <x:f>INDEX('Все серии'!$AE$9:$AE$53,MATCH("20261001T195754Z_57e25698_lm_api/granite-4.1-8b",'Все серии'!$AL$9:$AL$53,0))</x:f>
        <x:v>4096</x:v>
      </x:c>
      <x:c r="Z17" s="22" t="n">
        <x:f>INDEX('Все серии'!$AF$9:$AF$53,MATCH("20261001T195754Z_57e25698_lm_api/granite-4.1-8b",'Все серии'!$AL$9:$AL$53,0))</x:f>
        <x:v>1</x:v>
      </x:c>
      <x:c r="AA17" s="19" t="n">
        <x:f>INDEX('Все серии'!$AG$9:$AG$53,MATCH("20261001T195754Z_57e25698_lm_api/granite-4.1-8b",'Все серии'!$AL$9:$AL$53,0))</x:f>
        <x:v>0</x:v>
      </x:c>
      <x:c r="AB17" s="22" t="n">
        <x:f>INDEX('Все серии'!$AH$9:$AH$53,MATCH("20261001T195754Z_57e25698_lm_api/granite-4.1-8b",'Все серии'!$AL$9:$AL$53,0))</x:f>
        <x:v>512</x:v>
      </x:c>
      <x:c r="AC17" s="22" t="n">
        <x:f>INDEX('Все серии'!$AI$9:$AI$53,MATCH("20261001T195754Z_57e25698_lm_api/granite-4.1-8b",'Все серии'!$AL$9:$AL$53,0))</x:f>
        <x:v>42</x:v>
      </x:c>
      <x:c r="AD17" s="24" t="n">
        <x:f>INDEX('Все серии'!$AJ$9:$AJ$53,MATCH("20261001T195754Z_57e25698_lm_api/granite-4.1-8b",'Все серии'!$AL$9:$AL$53,0))</x:f>
        <x:v>5.530558499998733</x:v>
      </x:c>
      <x:c r="AE17" s="73" t="str">
        <x:f>INDEX('Все серии'!$AK$9:$AK$53,MATCH("20261001T195754Z_57e25698_lm_api/granite-4.1-8b",'Все серии'!$AL$9:$AL$53,0))</x:f>
        <x:v>off-or-low</x:v>
      </x:c>
    </x:row>
    <x:row r="18" ht="46" customHeight="1">
      <x:c r="A18" s="21" t="str">
        <x:f>INDEX('Все серии'!$B$9:$B$53,MATCH("20261001T195754Z_57e25698_lm_api/dr-venus-4b-rl",'Все серии'!$AL$9:$AL$53,0))</x:f>
        <x:v>dr-venus-4b-rl</x:v>
      </x:c>
      <x:c r="B18" s="21" t="str">
        <x:f>INDEX('Все серии'!$E$9:$E$53,MATCH("20261001T195754Z_57e25698_lm_api/dr-venus-4b-rl",'Все серии'!$AL$9:$AL$53,0))</x:f>
        <x:v>EARLY_STOP</x:v>
      </x:c>
      <x:c r="C18" s="22" t="n">
        <x:f>INDEX('Все серии'!$F$9:$F$53,MATCH("20261001T195754Z_57e25698_lm_api/dr-venus-4b-rl",'Все серии'!$AL$9:$AL$53,0))</x:f>
        <x:v>6</x:v>
      </x:c>
      <x:c r="D18" s="22" t="n">
        <x:f>INDEX('Все серии'!$G$9:$G$53,MATCH("20261001T195754Z_57e25698_lm_api/dr-venus-4b-rl",'Все серии'!$AL$9:$AL$53,0))</x:f>
        <x:v>1</x:v>
      </x:c>
      <x:c r="E18" s="23" t="n">
        <x:f>INDEX('Все серии'!$H$9:$H$53,MATCH("20261001T195754Z_57e25698_lm_api/dr-venus-4b-rl",'Все серии'!$AL$9:$AL$53,0))</x:f>
        <x:v>0.16666666666666666</x:v>
      </x:c>
      <x:c r="F18" s="22" t="n">
        <x:f>INDEX('Все серии'!$I$9:$I$53,MATCH("20261001T195754Z_57e25698_lm_api/dr-venus-4b-rl",'Все серии'!$AL$9:$AL$53,0))</x:f>
        <x:v>4</x:v>
      </x:c>
      <x:c r="G18" s="22" t="n">
        <x:f>INDEX('Все серии'!$J$9:$J$53,MATCH("20261001T195754Z_57e25698_lm_api/dr-venus-4b-rl",'Все серии'!$AL$9:$AL$53,0))</x:f>
        <x:v>2782</x:v>
      </x:c>
      <x:c r="H18" s="22" t="n">
        <x:f>INDEX('Все серии'!$K$9:$K$53,MATCH("20261001T195754Z_57e25698_lm_api/dr-venus-4b-rl",'Все серии'!$AL$9:$AL$53,0))</x:f>
        <x:v>2523</x:v>
      </x:c>
      <x:c r="I18" s="22" t="n">
        <x:f>INDEX('Все серии'!$L$9:$L$53,MATCH("20261001T195754Z_57e25698_lm_api/dr-venus-4b-rl",'Все серии'!$AL$9:$AL$53,0))</x:f>
        <x:v>2450</x:v>
      </x:c>
      <x:c r="J18" s="22" t="n">
        <x:f>INDEX('Все серии'!$M$9:$M$53,MATCH("20261001T195754Z_57e25698_lm_api/dr-venus-4b-rl",'Все серии'!$AL$9:$AL$53,0))</x:f>
        <x:v>6</x:v>
      </x:c>
      <x:c r="K18" s="22" t="n">
        <x:f>INDEX('Все серии'!$N$9:$N$53,MATCH("20261001T195754Z_57e25698_lm_api/dr-venus-4b-rl",'Все серии'!$AL$9:$AL$53,0))</x:f>
        <x:v>6</x:v>
      </x:c>
      <x:c r="L18" s="24" t="n">
        <x:f>INDEX('Все серии'!$Q$9:$Q$53,MATCH("20261001T195754Z_57e25698_lm_api/dr-venus-4b-rl",'Все серии'!$AL$9:$AL$53,0))</x:f>
        <x:v>4.858588449998933</x:v>
      </x:c>
      <x:c r="M18" s="24" t="n">
        <x:f>INDEX('Все серии'!$R$9:$R$53,MATCH("20261001T195754Z_57e25698_lm_api/dr-venus-4b-rl",'Все серии'!$AL$9:$AL$53,0))</x:f>
        <x:v>4.956783600000108</x:v>
      </x:c>
      <x:c r="N18" s="24" t="n">
        <x:f>INDEX('Все серии'!$S$9:$S$53,MATCH("20261001T195754Z_57e25698_lm_api/dr-venus-4b-rl",'Все серии'!$AL$9:$AL$53,0))</x:f>
        <x:v>0.07481369999914023</x:v>
      </x:c>
      <x:c r="O18" s="24" t="n">
        <x:f>INDEX('Все серии'!$T$9:$T$53,MATCH("20261001T195754Z_57e25698_lm_api/dr-venus-4b-rl",'Все серии'!$AL$9:$AL$53,0))</x:f>
        <x:v>2.007938399999148</x:v>
      </x:c>
      <x:c r="P18" s="25" t="n">
        <x:f>INDEX('Все серии'!$U$9:$U$53,MATCH("20261001T195754Z_57e25698_lm_api/dr-venus-4b-rl",'Все серии'!$AL$9:$AL$53,0))</x:f>
        <x:v>105.69395335094225</x:v>
      </x:c>
      <x:c r="Q18" s="24" t="str">
        <x:f>INDEX('Все серии'!$V$9:$V$53,MATCH("20261001T195754Z_57e25698_lm_api/dr-venus-4b-rl",'Все серии'!$AL$9:$AL$53,0))</x:f>
        <x:v>UNKNOWN</x:v>
      </x:c>
      <x:c r="R18" s="25" t="n">
        <x:f>INDEX('Все серии'!$W$9:$W$53,MATCH("20261001T195754Z_57e25698_lm_api/dr-venus-4b-rl",'Все серии'!$AL$9:$AL$53,0))</x:f>
        <x:v>105.525</x:v>
      </x:c>
      <x:c r="S18" s="25" t="n">
        <x:f>INDEX('Все серии'!$Y$9:$Y$53,MATCH("20261001T195754Z_57e25698_lm_api/dr-venus-4b-rl",'Все серии'!$AL$9:$AL$53,0))</x:f>
        <x:v>4.1015625</x:v>
      </x:c>
      <x:c r="T18" s="25" t="n">
        <x:f>INDEX('Все серии'!$Z$9:$Z$53,MATCH("20261001T195754Z_57e25698_lm_api/dr-venus-4b-rl",'Все серии'!$AL$9:$AL$53,0))</x:f>
        <x:v>14.195262908935547</x:v>
      </x:c>
      <x:c r="U18" s="25" t="n">
        <x:f>INDEX('Все серии'!$AA$9:$AA$53,MATCH("20261001T195754Z_57e25698_lm_api/dr-venus-4b-rl",'Все серии'!$AL$9:$AL$53,0))</x:f>
        <x:v>2.5295353829860687</x:v>
      </x:c>
      <x:c r="V18" s="20" t="str">
        <x:f>INDEX('Все серии'!$AB$9:$AB$53,MATCH("20261001T195754Z_57e25698_lm_api/dr-venus-4b-rl",'Все серии'!$AL$9:$AL$53,0))</x:f>
        <x:v>Q4_K_M</x:v>
      </x:c>
      <x:c r="W18" s="20" t="str">
        <x:f>INDEX('Все серии'!$AC$9:$AC$53,MATCH("20261001T195754Z_57e25698_lm_api/dr-venus-4b-rl",'Все серии'!$AL$9:$AL$53,0))</x:f>
        <x:v>max</x:v>
      </x:c>
      <x:c r="X18" s="20" t="str">
        <x:f>INDEX('Все серии'!$AD$9:$AD$53,MATCH("20261001T195754Z_57e25698_lm_api/dr-venus-4b-rl",'Все серии'!$AL$9:$AL$53,0))</x:f>
        <x:v>UNKNOWN</x:v>
      </x:c>
      <x:c r="Y18" s="22" t="n">
        <x:f>INDEX('Все серии'!$AE$9:$AE$53,MATCH("20261001T195754Z_57e25698_lm_api/dr-venus-4b-rl",'Все серии'!$AL$9:$AL$53,0))</x:f>
        <x:v>4096</x:v>
      </x:c>
      <x:c r="Z18" s="22" t="n">
        <x:f>INDEX('Все серии'!$AF$9:$AF$53,MATCH("20261001T195754Z_57e25698_lm_api/dr-venus-4b-rl",'Все серии'!$AL$9:$AL$53,0))</x:f>
        <x:v>1</x:v>
      </x:c>
      <x:c r="AA18" s="19" t="n">
        <x:f>INDEX('Все серии'!$AG$9:$AG$53,MATCH("20261001T195754Z_57e25698_lm_api/dr-venus-4b-rl",'Все серии'!$AL$9:$AL$53,0))</x:f>
        <x:v>0</x:v>
      </x:c>
      <x:c r="AB18" s="22" t="n">
        <x:f>INDEX('Все серии'!$AH$9:$AH$53,MATCH("20261001T195754Z_57e25698_lm_api/dr-venus-4b-rl",'Все серии'!$AL$9:$AL$53,0))</x:f>
        <x:v>512</x:v>
      </x:c>
      <x:c r="AC18" s="22" t="n">
        <x:f>INDEX('Все серии'!$AI$9:$AI$53,MATCH("20261001T195754Z_57e25698_lm_api/dr-venus-4b-rl",'Все серии'!$AL$9:$AL$53,0))</x:f>
        <x:v>42</x:v>
      </x:c>
      <x:c r="AD18" s="24" t="n">
        <x:f>INDEX('Все серии'!$AJ$9:$AJ$53,MATCH("20261001T195754Z_57e25698_lm_api/dr-venus-4b-rl",'Все серии'!$AL$9:$AL$53,0))</x:f>
        <x:v>3.864323499999955</x:v>
      </x:c>
      <x:c r="AE18" s="73" t="str">
        <x:f>INDEX('Все серии'!$AK$9:$AK$53,MATCH("20261001T195754Z_57e25698_lm_api/dr-venus-4b-rl",'Все серии'!$AL$9:$AL$53,0))</x:f>
        <x:v>off-or-low</x:v>
      </x:c>
    </x:row>
    <x:row r="19" ht="46" customHeight="1">
      <x:c r="A19" s="21" t="str">
        <x:f>INDEX('Все серии'!$B$9:$B$53,MATCH("20261001T195754Z_57e25698_lm_api/qwen3-vl-8b-instruct",'Все серии'!$AL$9:$AL$53,0))</x:f>
        <x:v>qwen3-vl-8b-instruct</x:v>
      </x:c>
      <x:c r="B19" s="21" t="str">
        <x:f>INDEX('Все серии'!$E$9:$E$53,MATCH("20261001T195754Z_57e25698_lm_api/qwen3-vl-8b-instruct",'Все серии'!$AL$9:$AL$53,0))</x:f>
        <x:v>measured</x:v>
      </x:c>
      <x:c r="C19" s="22" t="n">
        <x:f>INDEX('Все серии'!$F$9:$F$53,MATCH("20261001T195754Z_57e25698_lm_api/qwen3-vl-8b-instruct",'Все серии'!$AL$9:$AL$53,0))</x:f>
        <x:v>12</x:v>
      </x:c>
      <x:c r="D19" s="22" t="n">
        <x:f>INDEX('Все серии'!$G$9:$G$53,MATCH("20261001T195754Z_57e25698_lm_api/qwen3-vl-8b-instruct",'Все серии'!$AL$9:$AL$53,0))</x:f>
        <x:v>5</x:v>
      </x:c>
      <x:c r="E19" s="23" t="n">
        <x:f>INDEX('Все серии'!$H$9:$H$53,MATCH("20261001T195754Z_57e25698_lm_api/qwen3-vl-8b-instruct",'Все серии'!$AL$9:$AL$53,0))</x:f>
        <x:v>0.4166666666666667</x:v>
      </x:c>
      <x:c r="F19" s="22" t="n">
        <x:f>INDEX('Все серии'!$I$9:$I$53,MATCH("20261001T195754Z_57e25698_lm_api/qwen3-vl-8b-instruct",'Все серии'!$AL$9:$AL$53,0))</x:f>
        <x:v>0</x:v>
      </x:c>
      <x:c r="G19" s="22" t="n">
        <x:f>INDEX('Все серии'!$J$9:$J$53,MATCH("20261001T195754Z_57e25698_lm_api/qwen3-vl-8b-instruct",'Все серии'!$AL$9:$AL$53,0))</x:f>
        <x:v>5445</x:v>
      </x:c>
      <x:c r="H19" s="22" t="n">
        <x:f>INDEX('Все серии'!$K$9:$K$53,MATCH("20261001T195754Z_57e25698_lm_api/qwen3-vl-8b-instruct",'Все серии'!$AL$9:$AL$53,0))</x:f>
        <x:v>313</x:v>
      </x:c>
      <x:c r="I19" s="22" t="n">
        <x:f>INDEX('Все серии'!$L$9:$L$53,MATCH("20261001T195754Z_57e25698_lm_api/qwen3-vl-8b-instruct",'Все серии'!$AL$9:$AL$53,0))</x:f>
        <x:v>0</x:v>
      </x:c>
      <x:c r="J19" s="22" t="n">
        <x:f>INDEX('Все серии'!$M$9:$M$53,MATCH("20261001T195754Z_57e25698_lm_api/qwen3-vl-8b-instruct",'Все серии'!$AL$9:$AL$53,0))</x:f>
        <x:v>12</x:v>
      </x:c>
      <x:c r="K19" s="22" t="n">
        <x:f>INDEX('Все серии'!$N$9:$N$53,MATCH("20261001T195754Z_57e25698_lm_api/qwen3-vl-8b-instruct",'Все серии'!$AL$9:$AL$53,0))</x:f>
        <x:v>12</x:v>
      </x:c>
      <x:c r="L19" s="24" t="n">
        <x:f>INDEX('Все серии'!$Q$9:$Q$53,MATCH("20261001T195754Z_57e25698_lm_api/qwen3-vl-8b-instruct",'Все серии'!$AL$9:$AL$53,0))</x:f>
        <x:v>0.5851641999988715</x:v>
      </x:c>
      <x:c r="M19" s="24" t="n">
        <x:f>INDEX('Все серии'!$R$9:$R$53,MATCH("20261001T195754Z_57e25698_lm_api/qwen3-vl-8b-instruct",'Все серии'!$AL$9:$AL$53,0))</x:f>
        <x:v>0.7057883200006472</x:v>
      </x:c>
      <x:c r="N19" s="24" t="n">
        <x:f>INDEX('Все серии'!$S$9:$S$53,MATCH("20261001T195754Z_57e25698_lm_api/qwen3-vl-8b-instruct",'Все серии'!$AL$9:$AL$53,0))</x:f>
        <x:v>0.05501529999946797</x:v>
      </x:c>
      <x:c r="O19" s="24" t="n">
        <x:f>INDEX('Все серии'!$T$9:$T$53,MATCH("20261001T195754Z_57e25698_lm_api/qwen3-vl-8b-instruct",'Все серии'!$AL$9:$AL$53,0))</x:f>
        <x:v>0.05501529999946797</x:v>
      </x:c>
      <x:c r="P19" s="25" t="n">
        <x:f>INDEX('Все серии'!$U$9:$U$53,MATCH("20261001T195754Z_57e25698_lm_api/qwen3-vl-8b-instruct",'Все серии'!$AL$9:$AL$53,0))</x:f>
        <x:v>50.43856726669222</x:v>
      </x:c>
      <x:c r="Q19" s="24" t="str">
        <x:f>INDEX('Все серии'!$V$9:$V$53,MATCH("20261001T195754Z_57e25698_lm_api/qwen3-vl-8b-instruct",'Все серии'!$AL$9:$AL$53,0))</x:f>
        <x:v>UNKNOWN</x:v>
      </x:c>
      <x:c r="R19" s="25" t="n">
        <x:f>INDEX('Все серии'!$W$9:$W$53,MATCH("20261001T195754Z_57e25698_lm_api/qwen3-vl-8b-instruct",'Все серии'!$AL$9:$AL$53,0))</x:f>
        <x:v>46.695</x:v>
      </x:c>
      <x:c r="S19" s="25" t="n">
        <x:f>INDEX('Все серии'!$Y$9:$Y$53,MATCH("20261001T195754Z_57e25698_lm_api/qwen3-vl-8b-instruct",'Все серии'!$AL$9:$AL$53,0))</x:f>
        <x:v>10.765625</x:v>
      </x:c>
      <x:c r="T19" s="25" t="n">
        <x:f>INDEX('Все серии'!$Z$9:$Z$53,MATCH("20261001T195754Z_57e25698_lm_api/qwen3-vl-8b-instruct",'Все серии'!$AL$9:$AL$53,0))</x:f>
        <x:v>19.502304077148438</x:v>
      </x:c>
      <x:c r="U19" s="25" t="n">
        <x:f>INDEX('Все серии'!$AA$9:$AA$53,MATCH("20261001T195754Z_57e25698_lm_api/qwen3-vl-8b-instruct",'Все серии'!$AL$9:$AL$53,0))</x:f>
        <x:v>9.190802723169327</x:v>
      </x:c>
      <x:c r="V19" s="20" t="str">
        <x:f>INDEX('Все серии'!$AB$9:$AB$53,MATCH("20261001T195754Z_57e25698_lm_api/qwen3-vl-8b-instruct",'Все серии'!$AL$9:$AL$53,0))</x:f>
        <x:v>Q8_0</x:v>
      </x:c>
      <x:c r="W19" s="20" t="str">
        <x:f>INDEX('Все серии'!$AC$9:$AC$53,MATCH("20261001T195754Z_57e25698_lm_api/qwen3-vl-8b-instruct",'Все серии'!$AL$9:$AL$53,0))</x:f>
        <x:v>max</x:v>
      </x:c>
      <x:c r="X19" s="20" t="str">
        <x:f>INDEX('Все серии'!$AD$9:$AD$53,MATCH("20261001T195754Z_57e25698_lm_api/qwen3-vl-8b-instruct",'Все серии'!$AL$9:$AL$53,0))</x:f>
        <x:v>UNKNOWN</x:v>
      </x:c>
      <x:c r="Y19" s="22" t="n">
        <x:f>INDEX('Все серии'!$AE$9:$AE$53,MATCH("20261001T195754Z_57e25698_lm_api/qwen3-vl-8b-instruct",'Все серии'!$AL$9:$AL$53,0))</x:f>
        <x:v>4096</x:v>
      </x:c>
      <x:c r="Z19" s="22" t="n">
        <x:f>INDEX('Все серии'!$AF$9:$AF$53,MATCH("20261001T195754Z_57e25698_lm_api/qwen3-vl-8b-instruct",'Все серии'!$AL$9:$AL$53,0))</x:f>
        <x:v>1</x:v>
      </x:c>
      <x:c r="AA19" s="19" t="n">
        <x:f>INDEX('Все серии'!$AG$9:$AG$53,MATCH("20261001T195754Z_57e25698_lm_api/qwen3-vl-8b-instruct",'Все серии'!$AL$9:$AL$53,0))</x:f>
        <x:v>0</x:v>
      </x:c>
      <x:c r="AB19" s="22" t="n">
        <x:f>INDEX('Все серии'!$AH$9:$AH$53,MATCH("20261001T195754Z_57e25698_lm_api/qwen3-vl-8b-instruct",'Все серии'!$AL$9:$AL$53,0))</x:f>
        <x:v>512</x:v>
      </x:c>
      <x:c r="AC19" s="22" t="n">
        <x:f>INDEX('Все серии'!$AI$9:$AI$53,MATCH("20261001T195754Z_57e25698_lm_api/qwen3-vl-8b-instruct",'Все серии'!$AL$9:$AL$53,0))</x:f>
        <x:v>42</x:v>
      </x:c>
      <x:c r="AD19" s="24" t="n">
        <x:f>INDEX('Все серии'!$AJ$9:$AJ$53,MATCH("20261001T195754Z_57e25698_lm_api/qwen3-vl-8b-instruct",'Все серии'!$AL$9:$AL$53,0))</x:f>
        <x:v>15.888590999998996</x:v>
      </x:c>
      <x:c r="AE19" s="73" t="str">
        <x:f>INDEX('Все серии'!$AK$9:$AK$53,MATCH("20261001T195754Z_57e25698_lm_api/qwen3-vl-8b-instruct",'Все серии'!$AL$9:$AL$53,0))</x:f>
        <x:v>off-or-low</x:v>
      </x:c>
    </x:row>
    <x:row r="20" ht="46" customHeight="1">
      <x:c r="A20" s="21" t="str">
        <x:f>INDEX('Все серии'!$B$9:$B$53,MATCH("20261001T195754Z_57e25698_lm_api/qwen3-8b-deepseek-v3.2-speciale-distill",'Все серии'!$AL$9:$AL$53,0))</x:f>
        <x:v>qwen3-8b-deepseek-v3.2-speciale-distill</x:v>
      </x:c>
      <x:c r="B20" s="21" t="str">
        <x:f>INDEX('Все серии'!$E$9:$E$53,MATCH("20261001T195754Z_57e25698_lm_api/qwen3-8b-deepseek-v3.2-speciale-distill",'Все серии'!$AL$9:$AL$53,0))</x:f>
        <x:v>measured</x:v>
      </x:c>
      <x:c r="C20" s="22" t="n">
        <x:f>INDEX('Все серии'!$F$9:$F$53,MATCH("20261001T195754Z_57e25698_lm_api/qwen3-8b-deepseek-v3.2-speciale-distill",'Все серии'!$AL$9:$AL$53,0))</x:f>
        <x:v>12</x:v>
      </x:c>
      <x:c r="D20" s="22" t="n">
        <x:f>INDEX('Все серии'!$G$9:$G$53,MATCH("20261001T195754Z_57e25698_lm_api/qwen3-8b-deepseek-v3.2-speciale-distill",'Все серии'!$AL$9:$AL$53,0))</x:f>
        <x:v>8</x:v>
      </x:c>
      <x:c r="E20" s="23" t="n">
        <x:f>INDEX('Все серии'!$H$9:$H$53,MATCH("20261001T195754Z_57e25698_lm_api/qwen3-8b-deepseek-v3.2-speciale-distill",'Все серии'!$AL$9:$AL$53,0))</x:f>
        <x:v>0.6666666666666666</x:v>
      </x:c>
      <x:c r="F20" s="22" t="n">
        <x:f>INDEX('Все серии'!$I$9:$I$53,MATCH("20261001T195754Z_57e25698_lm_api/qwen3-8b-deepseek-v3.2-speciale-distill",'Все серии'!$AL$9:$AL$53,0))</x:f>
        <x:v>0</x:v>
      </x:c>
      <x:c r="G20" s="22" t="n">
        <x:f>INDEX('Все серии'!$J$9:$J$53,MATCH("20261001T195754Z_57e25698_lm_api/qwen3-8b-deepseek-v3.2-speciale-distill",'Все серии'!$AL$9:$AL$53,0))</x:f>
        <x:v>5493</x:v>
      </x:c>
      <x:c r="H20" s="22" t="n">
        <x:f>INDEX('Все серии'!$K$9:$K$53,MATCH("20261001T195754Z_57e25698_lm_api/qwen3-8b-deepseek-v3.2-speciale-distill",'Все серии'!$AL$9:$AL$53,0))</x:f>
        <x:v>281</x:v>
      </x:c>
      <x:c r="I20" s="22" t="n">
        <x:f>INDEX('Все серии'!$L$9:$L$53,MATCH("20261001T195754Z_57e25698_lm_api/qwen3-8b-deepseek-v3.2-speciale-distill",'Все серии'!$AL$9:$AL$53,0))</x:f>
        <x:v>0</x:v>
      </x:c>
      <x:c r="J20" s="22" t="n">
        <x:f>INDEX('Все серии'!$M$9:$M$53,MATCH("20261001T195754Z_57e25698_lm_api/qwen3-8b-deepseek-v3.2-speciale-distill",'Все серии'!$AL$9:$AL$53,0))</x:f>
        <x:v>12</x:v>
      </x:c>
      <x:c r="K20" s="22" t="n">
        <x:f>INDEX('Все серии'!$N$9:$N$53,MATCH("20261001T195754Z_57e25698_lm_api/qwen3-8b-deepseek-v3.2-speciale-distill",'Все серии'!$AL$9:$AL$53,0))</x:f>
        <x:v>12</x:v>
      </x:c>
      <x:c r="L20" s="24" t="n">
        <x:f>INDEX('Все серии'!$Q$9:$Q$53,MATCH("20261001T195754Z_57e25698_lm_api/qwen3-8b-deepseek-v3.2-speciale-distill",'Все серии'!$AL$9:$AL$53,0))</x:f>
        <x:v>0.4186236999994435</x:v>
      </x:c>
      <x:c r="M20" s="24" t="n">
        <x:f>INDEX('Все серии'!$R$9:$R$53,MATCH("20261001T195754Z_57e25698_lm_api/qwen3-8b-deepseek-v3.2-speciale-distill",'Все серии'!$AL$9:$AL$53,0))</x:f>
        <x:v>0.5228648400001474</x:v>
      </x:c>
      <x:c r="N20" s="24" t="n">
        <x:f>INDEX('Все серии'!$S$9:$S$53,MATCH("20261001T195754Z_57e25698_lm_api/qwen3-8b-deepseek-v3.2-speciale-distill",'Все серии'!$AL$9:$AL$53,0))</x:f>
        <x:v>0.056604750000587956</x:v>
      </x:c>
      <x:c r="O20" s="24" t="n">
        <x:f>INDEX('Все серии'!$T$9:$T$53,MATCH("20261001T195754Z_57e25698_lm_api/qwen3-8b-deepseek-v3.2-speciale-distill",'Все серии'!$AL$9:$AL$53,0))</x:f>
        <x:v>0.056604750000587956</x:v>
      </x:c>
      <x:c r="P20" s="25" t="n">
        <x:f>INDEX('Все серии'!$U$9:$U$53,MATCH("20261001T195754Z_57e25698_lm_api/qwen3-8b-deepseek-v3.2-speciale-distill",'Все серии'!$AL$9:$AL$53,0))</x:f>
        <x:v>68.76597058738764</x:v>
      </x:c>
      <x:c r="Q20" s="24" t="str">
        <x:f>INDEX('Все серии'!$V$9:$V$53,MATCH("20261001T195754Z_57e25698_lm_api/qwen3-8b-deepseek-v3.2-speciale-distill",'Все серии'!$AL$9:$AL$53,0))</x:f>
        <x:v>UNKNOWN</x:v>
      </x:c>
      <x:c r="R20" s="25" t="n">
        <x:f>INDEX('Все серии'!$W$9:$W$53,MATCH("20261001T195754Z_57e25698_lm_api/qwen3-8b-deepseek-v3.2-speciale-distill",'Все серии'!$AL$9:$AL$53,0))</x:f>
        <x:v>63.27</x:v>
      </x:c>
      <x:c r="S20" s="25" t="n">
        <x:f>INDEX('Все серии'!$Y$9:$Y$53,MATCH("20261001T195754Z_57e25698_lm_api/qwen3-8b-deepseek-v3.2-speciale-distill",'Все серии'!$AL$9:$AL$53,0))</x:f>
        <x:v>6.15625</x:v>
      </x:c>
      <x:c r="T20" s="25" t="n">
        <x:f>INDEX('Все серии'!$Z$9:$Z$53,MATCH("20261001T195754Z_57e25698_lm_api/qwen3-8b-deepseek-v3.2-speciale-distill",'Все серии'!$AL$9:$AL$53,0))</x:f>
        <x:v>15.471961975097656</x:v>
      </x:c>
      <x:c r="U20" s="25" t="n">
        <x:f>INDEX('Все серии'!$AA$9:$AA$53,MATCH("20261001T195754Z_57e25698_lm_api/qwen3-8b-deepseek-v3.2-speciale-distill",'Все серии'!$AL$9:$AL$53,0))</x:f>
        <x:v>4.682491015642881</x:v>
      </x:c>
      <x:c r="V20" s="20" t="str">
        <x:f>INDEX('Все серии'!$AB$9:$AB$53,MATCH("20261001T195754Z_57e25698_lm_api/qwen3-8b-deepseek-v3.2-speciale-distill",'Все серии'!$AL$9:$AL$53,0))</x:f>
        <x:v>Q4_K_M</x:v>
      </x:c>
      <x:c r="W20" s="20" t="str">
        <x:f>INDEX('Все серии'!$AC$9:$AC$53,MATCH("20261001T195754Z_57e25698_lm_api/qwen3-8b-deepseek-v3.2-speciale-distill",'Все серии'!$AL$9:$AL$53,0))</x:f>
        <x:v>max</x:v>
      </x:c>
      <x:c r="X20" s="20" t="str">
        <x:f>INDEX('Все серии'!$AD$9:$AD$53,MATCH("20261001T195754Z_57e25698_lm_api/qwen3-8b-deepseek-v3.2-speciale-distill",'Все серии'!$AL$9:$AL$53,0))</x:f>
        <x:v>UNKNOWN</x:v>
      </x:c>
      <x:c r="Y20" s="22" t="n">
        <x:f>INDEX('Все серии'!$AE$9:$AE$53,MATCH("20261001T195754Z_57e25698_lm_api/qwen3-8b-deepseek-v3.2-speciale-distill",'Все серии'!$AL$9:$AL$53,0))</x:f>
        <x:v>4096</x:v>
      </x:c>
      <x:c r="Z20" s="22" t="n">
        <x:f>INDEX('Все серии'!$AF$9:$AF$53,MATCH("20261001T195754Z_57e25698_lm_api/qwen3-8b-deepseek-v3.2-speciale-distill",'Все серии'!$AL$9:$AL$53,0))</x:f>
        <x:v>1</x:v>
      </x:c>
      <x:c r="AA20" s="19" t="n">
        <x:f>INDEX('Все серии'!$AG$9:$AG$53,MATCH("20261001T195754Z_57e25698_lm_api/qwen3-8b-deepseek-v3.2-speciale-distill",'Все серии'!$AL$9:$AL$53,0))</x:f>
        <x:v>0</x:v>
      </x:c>
      <x:c r="AB20" s="22" t="n">
        <x:f>INDEX('Все серии'!$AH$9:$AH$53,MATCH("20261001T195754Z_57e25698_lm_api/qwen3-8b-deepseek-v3.2-speciale-distill",'Все серии'!$AL$9:$AL$53,0))</x:f>
        <x:v>512</x:v>
      </x:c>
      <x:c r="AC20" s="22" t="n">
        <x:f>INDEX('Все серии'!$AI$9:$AI$53,MATCH("20261001T195754Z_57e25698_lm_api/qwen3-8b-deepseek-v3.2-speciale-distill",'Все серии'!$AL$9:$AL$53,0))</x:f>
        <x:v>42</x:v>
      </x:c>
      <x:c r="AD20" s="24" t="n">
        <x:f>INDEX('Все серии'!$AJ$9:$AJ$53,MATCH("20261001T195754Z_57e25698_lm_api/qwen3-8b-deepseek-v3.2-speciale-distill",'Все серии'!$AL$9:$AL$53,0))</x:f>
        <x:v>12.946205600001122</x:v>
      </x:c>
      <x:c r="AE20" s="73" t="str">
        <x:f>INDEX('Все серии'!$AK$9:$AK$53,MATCH("20261001T195754Z_57e25698_lm_api/qwen3-8b-deepseek-v3.2-speciale-distill",'Все серии'!$AL$9:$AL$53,0))</x:f>
        <x:v>off-or-low</x:v>
      </x:c>
    </x:row>
    <x:row r="21" ht="46" customHeight="1">
      <x:c r="A21" s="21" t="str">
        <x:f>INDEX('Все серии'!$B$9:$B$53,MATCH("20261001T195754Z_57e25698_lm_api/qwen3-omni-30b-a3b-instruct",'Все серии'!$AL$9:$AL$53,0))</x:f>
        <x:v>qwen3-omni-30b-a3b-instruct</x:v>
      </x:c>
      <x:c r="B21" s="21" t="str">
        <x:f>INDEX('Все серии'!$E$9:$E$53,MATCH("20261001T195754Z_57e25698_lm_api/qwen3-omni-30b-a3b-instruct",'Все серии'!$AL$9:$AL$53,0))</x:f>
        <x:v>measured</x:v>
      </x:c>
      <x:c r="C21" s="22" t="n">
        <x:f>INDEX('Все серии'!$F$9:$F$53,MATCH("20261001T195754Z_57e25698_lm_api/qwen3-omni-30b-a3b-instruct",'Все серии'!$AL$9:$AL$53,0))</x:f>
        <x:v>12</x:v>
      </x:c>
      <x:c r="D21" s="22" t="n">
        <x:f>INDEX('Все серии'!$G$9:$G$53,MATCH("20261001T195754Z_57e25698_lm_api/qwen3-omni-30b-a3b-instruct",'Все серии'!$AL$9:$AL$53,0))</x:f>
        <x:v>6</x:v>
      </x:c>
      <x:c r="E21" s="23" t="n">
        <x:f>INDEX('Все серии'!$H$9:$H$53,MATCH("20261001T195754Z_57e25698_lm_api/qwen3-omni-30b-a3b-instruct",'Все серии'!$AL$9:$AL$53,0))</x:f>
        <x:v>0.5</x:v>
      </x:c>
      <x:c r="F21" s="22" t="n">
        <x:f>INDEX('Все серии'!$I$9:$I$53,MATCH("20261001T195754Z_57e25698_lm_api/qwen3-omni-30b-a3b-instruct",'Все серии'!$AL$9:$AL$53,0))</x:f>
        <x:v>0</x:v>
      </x:c>
      <x:c r="G21" s="22" t="n">
        <x:f>INDEX('Все серии'!$J$9:$J$53,MATCH("20261001T195754Z_57e25698_lm_api/qwen3-omni-30b-a3b-instruct",'Все серии'!$AL$9:$AL$53,0))</x:f>
        <x:v>5493</x:v>
      </x:c>
      <x:c r="H21" s="22" t="n">
        <x:f>INDEX('Все серии'!$K$9:$K$53,MATCH("20261001T195754Z_57e25698_lm_api/qwen3-omni-30b-a3b-instruct",'Все серии'!$AL$9:$AL$53,0))</x:f>
        <x:v>407</x:v>
      </x:c>
      <x:c r="I21" s="22" t="n">
        <x:f>INDEX('Все серии'!$L$9:$L$53,MATCH("20261001T195754Z_57e25698_lm_api/qwen3-omni-30b-a3b-instruct",'Все серии'!$AL$9:$AL$53,0))</x:f>
        <x:v>0</x:v>
      </x:c>
      <x:c r="J21" s="22" t="n">
        <x:f>INDEX('Все серии'!$M$9:$M$53,MATCH("20261001T195754Z_57e25698_lm_api/qwen3-omni-30b-a3b-instruct",'Все серии'!$AL$9:$AL$53,0))</x:f>
        <x:v>12</x:v>
      </x:c>
      <x:c r="K21" s="22" t="n">
        <x:f>INDEX('Все серии'!$N$9:$N$53,MATCH("20261001T195754Z_57e25698_lm_api/qwen3-omni-30b-a3b-instruct",'Все серии'!$AL$9:$AL$53,0))</x:f>
        <x:v>12</x:v>
      </x:c>
      <x:c r="L21" s="24" t="n">
        <x:f>INDEX('Все серии'!$Q$9:$Q$53,MATCH("20261001T195754Z_57e25698_lm_api/qwen3-omni-30b-a3b-instruct",'Все серии'!$AL$9:$AL$53,0))</x:f>
        <x:v>1.3367081999995207</x:v>
      </x:c>
      <x:c r="M21" s="24" t="n">
        <x:f>INDEX('Все серии'!$R$9:$R$53,MATCH("20261001T195754Z_57e25698_lm_api/qwen3-omni-30b-a3b-instruct",'Все серии'!$AL$9:$AL$53,0))</x:f>
        <x:v>2.172807249999823</x:v>
      </x:c>
      <x:c r="N21" s="24" t="n">
        <x:f>INDEX('Все серии'!$S$9:$S$53,MATCH("20261001T195754Z_57e25698_lm_api/qwen3-omni-30b-a3b-instruct",'Все серии'!$AL$9:$AL$53,0))</x:f>
        <x:v>0.5544238000011319</x:v>
      </x:c>
      <x:c r="O21" s="24" t="n">
        <x:f>INDEX('Все серии'!$T$9:$T$53,MATCH("20261001T195754Z_57e25698_lm_api/qwen3-omni-30b-a3b-instruct",'Все серии'!$AL$9:$AL$53,0))</x:f>
        <x:v>0.5544238000011319</x:v>
      </x:c>
      <x:c r="P21" s="25" t="n">
        <x:f>INDEX('Все серии'!$U$9:$U$53,MATCH("20261001T195754Z_57e25698_lm_api/qwen3-omni-30b-a3b-instruct",'Все серии'!$AL$9:$AL$53,0))</x:f>
        <x:v>42.52690472105347</x:v>
      </x:c>
      <x:c r="Q21" s="24" t="str">
        <x:f>INDEX('Все серии'!$V$9:$V$53,MATCH("20261001T195754Z_57e25698_lm_api/qwen3-omni-30b-a3b-instruct",'Все серии'!$AL$9:$AL$53,0))</x:f>
        <x:v>UNKNOWN</x:v>
      </x:c>
      <x:c r="R21" s="25" t="n">
        <x:f>INDEX('Все серии'!$W$9:$W$53,MATCH("20261001T195754Z_57e25698_lm_api/qwen3-omni-30b-a3b-instruct",'Все серии'!$AL$9:$AL$53,0))</x:f>
        <x:v>38.39</x:v>
      </x:c>
      <x:c r="S21" s="25" t="n">
        <x:f>INDEX('Все серии'!$Y$9:$Y$53,MATCH("20261001T195754Z_57e25698_lm_api/qwen3-omni-30b-a3b-instruct",'Все серии'!$AL$9:$AL$53,0))</x:f>
        <x:v>14.55859375</x:v>
      </x:c>
      <x:c r="T21" s="25" t="n">
        <x:f>INDEX('Все серии'!$Z$9:$Z$53,MATCH("20261001T195754Z_57e25698_lm_api/qwen3-omni-30b-a3b-instruct",'Все серии'!$AL$9:$AL$53,0))</x:f>
        <x:v>29.03158187866211</x:v>
      </x:c>
      <x:c r="U21" s="25" t="n">
        <x:f>INDEX('Все серии'!$AA$9:$AA$53,MATCH("20261001T195754Z_57e25698_lm_api/qwen3-omni-30b-a3b-instruct",'Все серии'!$AL$9:$AL$53,0))</x:f>
        <x:v>19.33846578001976</x:v>
      </x:c>
      <x:c r="V21" s="20" t="str">
        <x:f>INDEX('Все серии'!$AB$9:$AB$53,MATCH("20261001T195754Z_57e25698_lm_api/qwen3-omni-30b-a3b-instruct",'Все серии'!$AL$9:$AL$53,0))</x:f>
        <x:v>Q4_K_M</x:v>
      </x:c>
      <x:c r="W21" s="20" t="n">
        <x:f>INDEX('Все серии'!$AC$9:$AC$53,MATCH("20261001T195754Z_57e25698_lm_api/qwen3-omni-30b-a3b-instruct",'Все серии'!$AL$9:$AL$53,0))</x:f>
        <x:v>0.6</x:v>
      </x:c>
      <x:c r="X21" s="20" t="str">
        <x:f>INDEX('Все серии'!$AD$9:$AD$53,MATCH("20261001T195754Z_57e25698_lm_api/qwen3-omni-30b-a3b-instruct",'Все серии'!$AL$9:$AL$53,0))</x:f>
        <x:v>UNKNOWN</x:v>
      </x:c>
      <x:c r="Y21" s="22" t="n">
        <x:f>INDEX('Все серии'!$AE$9:$AE$53,MATCH("20261001T195754Z_57e25698_lm_api/qwen3-omni-30b-a3b-instruct",'Все серии'!$AL$9:$AL$53,0))</x:f>
        <x:v>4096</x:v>
      </x:c>
      <x:c r="Z21" s="22" t="n">
        <x:f>INDEX('Все серии'!$AF$9:$AF$53,MATCH("20261001T195754Z_57e25698_lm_api/qwen3-omni-30b-a3b-instruct",'Все серии'!$AL$9:$AL$53,0))</x:f>
        <x:v>1</x:v>
      </x:c>
      <x:c r="AA21" s="19" t="n">
        <x:f>INDEX('Все серии'!$AG$9:$AG$53,MATCH("20261001T195754Z_57e25698_lm_api/qwen3-omni-30b-a3b-instruct",'Все серии'!$AL$9:$AL$53,0))</x:f>
        <x:v>0</x:v>
      </x:c>
      <x:c r="AB21" s="22" t="n">
        <x:f>INDEX('Все серии'!$AH$9:$AH$53,MATCH("20261001T195754Z_57e25698_lm_api/qwen3-omni-30b-a3b-instruct",'Все серии'!$AL$9:$AL$53,0))</x:f>
        <x:v>512</x:v>
      </x:c>
      <x:c r="AC21" s="22" t="n">
        <x:f>INDEX('Все серии'!$AI$9:$AI$53,MATCH("20261001T195754Z_57e25698_lm_api/qwen3-omni-30b-a3b-instruct",'Все серии'!$AL$9:$AL$53,0))</x:f>
        <x:v>42</x:v>
      </x:c>
      <x:c r="AD21" s="24" t="n">
        <x:f>INDEX('Все серии'!$AJ$9:$AJ$53,MATCH("20261001T195754Z_57e25698_lm_api/qwen3-omni-30b-a3b-instruct",'Все серии'!$AL$9:$AL$53,0))</x:f>
        <x:v>33.5441021000006</x:v>
      </x:c>
      <x:c r="AE21" s="73" t="str">
        <x:f>INDEX('Все серии'!$AK$9:$AK$53,MATCH("20261001T195754Z_57e25698_lm_api/qwen3-omni-30b-a3b-instruct",'Все серии'!$AL$9:$AL$53,0))</x:f>
        <x:v>off-or-low</x:v>
      </x:c>
    </x:row>
    <x:row r="22" ht="46" customHeight="1">
      <x:c r="A22" s="21" t="str">
        <x:f>INDEX('Все серии'!$B$9:$B$53,MATCH("20261001T195754Z_57e25698_lm_api/qwen3.6-35b-a3b-uncensored-hauhaucs-aggressive",'Все серии'!$AL$9:$AL$53,0))</x:f>
        <x:v>qwen3.6-35b-a3b-uncensored-hauhaucs-aggressive</x:v>
      </x:c>
      <x:c r="B22" s="21" t="str">
        <x:f>INDEX('Все серии'!$E$9:$E$53,MATCH("20261001T195754Z_57e25698_lm_api/qwen3.6-35b-a3b-uncensored-hauhaucs-aggressive",'Все серии'!$AL$9:$AL$53,0))</x:f>
        <x:v>NOT_RUN_PRIOR_RESOURCE_GUARD</x:v>
      </x:c>
      <x:c r="C22" s="22" t="n">
        <x:f>INDEX('Все серии'!$F$9:$F$53,MATCH("20261001T195754Z_57e25698_lm_api/qwen3.6-35b-a3b-uncensored-hauhaucs-aggressive",'Все серии'!$AL$9:$AL$53,0))</x:f>
        <x:v>0</x:v>
      </x:c>
      <x:c r="D22" s="22" t="str">
        <x:f>INDEX('Все серии'!$G$9:$G$53,MATCH("20261001T195754Z_57e25698_lm_api/qwen3.6-35b-a3b-uncensored-hauhaucs-aggressive",'Все серии'!$AL$9:$AL$53,0))</x:f>
        <x:v>UNKNOWN</x:v>
      </x:c>
      <x:c r="E22" s="23" t="str">
        <x:f>INDEX('Все серии'!$H$9:$H$53,MATCH("20261001T195754Z_57e25698_lm_api/qwen3.6-35b-a3b-uncensored-hauhaucs-aggressive",'Все серии'!$AL$9:$AL$53,0))</x:f>
        <x:v>NOT RUN</x:v>
      </x:c>
      <x:c r="F22" s="22" t="str">
        <x:f>INDEX('Все серии'!$I$9:$I$53,MATCH("20261001T195754Z_57e25698_lm_api/qwen3.6-35b-a3b-uncensored-hauhaucs-aggressive",'Все серии'!$AL$9:$AL$53,0))</x:f>
        <x:v>UNKNOWN</x:v>
      </x:c>
      <x:c r="G22" s="22" t="str">
        <x:f>INDEX('Все серии'!$J$9:$J$53,MATCH("20261001T195754Z_57e25698_lm_api/qwen3.6-35b-a3b-uncensored-hauhaucs-aggressive",'Все серии'!$AL$9:$AL$53,0))</x:f>
        <x:v>UNKNOWN</x:v>
      </x:c>
      <x:c r="H22" s="22" t="str">
        <x:f>INDEX('Все серии'!$K$9:$K$53,MATCH("20261001T195754Z_57e25698_lm_api/qwen3.6-35b-a3b-uncensored-hauhaucs-aggressive",'Все серии'!$AL$9:$AL$53,0))</x:f>
        <x:v>UNKNOWN</x:v>
      </x:c>
      <x:c r="I22" s="22" t="str">
        <x:f>INDEX('Все серии'!$L$9:$L$53,MATCH("20261001T195754Z_57e25698_lm_api/qwen3.6-35b-a3b-uncensored-hauhaucs-aggressive",'Все серии'!$AL$9:$AL$53,0))</x:f>
        <x:v>UNKNOWN</x:v>
      </x:c>
      <x:c r="J22" s="22" t="n">
        <x:f>INDEX('Все серии'!$M$9:$M$53,MATCH("20261001T195754Z_57e25698_lm_api/qwen3.6-35b-a3b-uncensored-hauhaucs-aggressive",'Все серии'!$AL$9:$AL$53,0))</x:f>
        <x:v>0</x:v>
      </x:c>
      <x:c r="K22" s="22" t="n">
        <x:f>INDEX('Все серии'!$N$9:$N$53,MATCH("20261001T195754Z_57e25698_lm_api/qwen3.6-35b-a3b-uncensored-hauhaucs-aggressive",'Все серии'!$AL$9:$AL$53,0))</x:f>
        <x:v>0</x:v>
      </x:c>
      <x:c r="L22" s="24" t="str">
        <x:f>INDEX('Все серии'!$Q$9:$Q$53,MATCH("20261001T195754Z_57e25698_lm_api/qwen3.6-35b-a3b-uncensored-hauhaucs-aggressive",'Все серии'!$AL$9:$AL$53,0))</x:f>
        <x:v>UNKNOWN</x:v>
      </x:c>
      <x:c r="M22" s="24" t="str">
        <x:f>INDEX('Все серии'!$R$9:$R$53,MATCH("20261001T195754Z_57e25698_lm_api/qwen3.6-35b-a3b-uncensored-hauhaucs-aggressive",'Все серии'!$AL$9:$AL$53,0))</x:f>
        <x:v>UNKNOWN</x:v>
      </x:c>
      <x:c r="N22" s="24" t="str">
        <x:f>INDEX('Все серии'!$S$9:$S$53,MATCH("20261001T195754Z_57e25698_lm_api/qwen3.6-35b-a3b-uncensored-hauhaucs-aggressive",'Все серии'!$AL$9:$AL$53,0))</x:f>
        <x:v>UNKNOWN</x:v>
      </x:c>
      <x:c r="O22" s="24" t="str">
        <x:f>INDEX('Все серии'!$T$9:$T$53,MATCH("20261001T195754Z_57e25698_lm_api/qwen3.6-35b-a3b-uncensored-hauhaucs-aggressive",'Все серии'!$AL$9:$AL$53,0))</x:f>
        <x:v>UNKNOWN</x:v>
      </x:c>
      <x:c r="P22" s="25" t="str">
        <x:f>INDEX('Все серии'!$U$9:$U$53,MATCH("20261001T195754Z_57e25698_lm_api/qwen3.6-35b-a3b-uncensored-hauhaucs-aggressive",'Все серии'!$AL$9:$AL$53,0))</x:f>
        <x:v>UNKNOWN</x:v>
      </x:c>
      <x:c r="Q22" s="24" t="str">
        <x:f>INDEX('Все серии'!$V$9:$V$53,MATCH("20261001T195754Z_57e25698_lm_api/qwen3.6-35b-a3b-uncensored-hauhaucs-aggressive",'Все серии'!$AL$9:$AL$53,0))</x:f>
        <x:v>UNKNOWN</x:v>
      </x:c>
      <x:c r="R22" s="25" t="str">
        <x:f>INDEX('Все серии'!$W$9:$W$53,MATCH("20261001T195754Z_57e25698_lm_api/qwen3.6-35b-a3b-uncensored-hauhaucs-aggressive",'Все серии'!$AL$9:$AL$53,0))</x:f>
        <x:v>UNKNOWN</x:v>
      </x:c>
      <x:c r="S22" s="25" t="str">
        <x:f>INDEX('Все серии'!$Y$9:$Y$53,MATCH("20261001T195754Z_57e25698_lm_api/qwen3.6-35b-a3b-uncensored-hauhaucs-aggressive",'Все серии'!$AL$9:$AL$53,0))</x:f>
        <x:v>UNKNOWN</x:v>
      </x:c>
      <x:c r="T22" s="25" t="str">
        <x:f>INDEX('Все серии'!$Z$9:$Z$53,MATCH("20261001T195754Z_57e25698_lm_api/qwen3.6-35b-a3b-uncensored-hauhaucs-aggressive",'Все серии'!$AL$9:$AL$53,0))</x:f>
        <x:v>UNKNOWN</x:v>
      </x:c>
      <x:c r="U22" s="25" t="n">
        <x:f>INDEX('Все серии'!$AA$9:$AA$53,MATCH("20261001T195754Z_57e25698_lm_api/qwen3.6-35b-a3b-uncensored-hauhaucs-aggressive",'Все серии'!$AL$9:$AL$53,0))</x:f>
        <x:v>20.550602197647095</x:v>
      </x:c>
      <x:c r="V22" s="20" t="str">
        <x:f>INDEX('Все серии'!$AB$9:$AB$53,MATCH("20261001T195754Z_57e25698_lm_api/qwen3.6-35b-a3b-uncensored-hauhaucs-aggressive",'Все серии'!$AL$9:$AL$53,0))</x:f>
        <x:v>Q4_K_M</x:v>
      </x:c>
      <x:c r="W22" s="20" t="n">
        <x:f>INDEX('Все серии'!$AC$9:$AC$53,MATCH("20261001T195754Z_57e25698_lm_api/qwen3.6-35b-a3b-uncensored-hauhaucs-aggressive",'Все серии'!$AL$9:$AL$53,0))</x:f>
        <x:v>0.55</x:v>
      </x:c>
      <x:c r="X22" s="20" t="str">
        <x:f>INDEX('Все серии'!$AD$9:$AD$53,MATCH("20261001T195754Z_57e25698_lm_api/qwen3.6-35b-a3b-uncensored-hauhaucs-aggressive",'Все серии'!$AL$9:$AL$53,0))</x:f>
        <x:v>UNKNOWN</x:v>
      </x:c>
      <x:c r="Y22" s="22" t="str">
        <x:f>INDEX('Все серии'!$AE$9:$AE$53,MATCH("20261001T195754Z_57e25698_lm_api/qwen3.6-35b-a3b-uncensored-hauhaucs-aggressive",'Все серии'!$AL$9:$AL$53,0))</x:f>
        <x:v>UNKNOWN</x:v>
      </x:c>
      <x:c r="Z22" s="22" t="str">
        <x:f>INDEX('Все серии'!$AF$9:$AF$53,MATCH("20261001T195754Z_57e25698_lm_api/qwen3.6-35b-a3b-uncensored-hauhaucs-aggressive",'Все серии'!$AL$9:$AL$53,0))</x:f>
        <x:v>UNKNOWN</x:v>
      </x:c>
      <x:c r="AA22" s="19" t="n">
        <x:f>INDEX('Все серии'!$AG$9:$AG$53,MATCH("20261001T195754Z_57e25698_lm_api/qwen3.6-35b-a3b-uncensored-hauhaucs-aggressive",'Все серии'!$AL$9:$AL$53,0))</x:f>
        <x:v>0</x:v>
      </x:c>
      <x:c r="AB22" s="22" t="n">
        <x:f>INDEX('Все серии'!$AH$9:$AH$53,MATCH("20261001T195754Z_57e25698_lm_api/qwen3.6-35b-a3b-uncensored-hauhaucs-aggressive",'Все серии'!$AL$9:$AL$53,0))</x:f>
        <x:v>512</x:v>
      </x:c>
      <x:c r="AC22" s="22" t="n">
        <x:f>INDEX('Все серии'!$AI$9:$AI$53,MATCH("20261001T195754Z_57e25698_lm_api/qwen3.6-35b-a3b-uncensored-hauhaucs-aggressive",'Все серии'!$AL$9:$AL$53,0))</x:f>
        <x:v>42</x:v>
      </x:c>
      <x:c r="AD22" s="24" t="str">
        <x:f>INDEX('Все серии'!$AJ$9:$AJ$53,MATCH("20261001T195754Z_57e25698_lm_api/qwen3.6-35b-a3b-uncensored-hauhaucs-aggressive",'Все серии'!$AL$9:$AL$53,0))</x:f>
        <x:v>UNKNOWN</x:v>
      </x:c>
      <x:c r="AE22" s="73" t="str">
        <x:f>INDEX('Все серии'!$AK$9:$AK$53,MATCH("20261001T195754Z_57e25698_lm_api/qwen3.6-35b-a3b-uncensored-hauhaucs-aggressive",'Все серии'!$AL$9:$AL$53,0))</x:f>
        <x:v>off-or-low</x:v>
      </x:c>
    </x:row>
    <x:row r="23" ht="46" customHeight="1">
      <x:c r="A23" s="21" t="str">
        <x:f>INDEX('Все серии'!$B$9:$B$53,MATCH("20261001T195754Z_57e25698_lm_api/qwen3-coder-next",'Все серии'!$AL$9:$AL$53,0))</x:f>
        <x:v>qwen3-coder-next</x:v>
      </x:c>
      <x:c r="B23" s="21" t="str">
        <x:f>INDEX('Все серии'!$E$9:$E$53,MATCH("20261001T195754Z_57e25698_lm_api/qwen3-coder-next",'Все серии'!$AL$9:$AL$53,0))</x:f>
        <x:v>NOT_RUN_PRIOR_RESOURCE_GUARD</x:v>
      </x:c>
      <x:c r="C23" s="22" t="n">
        <x:f>INDEX('Все серии'!$F$9:$F$53,MATCH("20261001T195754Z_57e25698_lm_api/qwen3-coder-next",'Все серии'!$AL$9:$AL$53,0))</x:f>
        <x:v>0</x:v>
      </x:c>
      <x:c r="D23" s="22" t="str">
        <x:f>INDEX('Все серии'!$G$9:$G$53,MATCH("20261001T195754Z_57e25698_lm_api/qwen3-coder-next",'Все серии'!$AL$9:$AL$53,0))</x:f>
        <x:v>UNKNOWN</x:v>
      </x:c>
      <x:c r="E23" s="23" t="str">
        <x:f>INDEX('Все серии'!$H$9:$H$53,MATCH("20261001T195754Z_57e25698_lm_api/qwen3-coder-next",'Все серии'!$AL$9:$AL$53,0))</x:f>
        <x:v>NOT RUN</x:v>
      </x:c>
      <x:c r="F23" s="22" t="str">
        <x:f>INDEX('Все серии'!$I$9:$I$53,MATCH("20261001T195754Z_57e25698_lm_api/qwen3-coder-next",'Все серии'!$AL$9:$AL$53,0))</x:f>
        <x:v>UNKNOWN</x:v>
      </x:c>
      <x:c r="G23" s="22" t="str">
        <x:f>INDEX('Все серии'!$J$9:$J$53,MATCH("20261001T195754Z_57e25698_lm_api/qwen3-coder-next",'Все серии'!$AL$9:$AL$53,0))</x:f>
        <x:v>UNKNOWN</x:v>
      </x:c>
      <x:c r="H23" s="22" t="str">
        <x:f>INDEX('Все серии'!$K$9:$K$53,MATCH("20261001T195754Z_57e25698_lm_api/qwen3-coder-next",'Все серии'!$AL$9:$AL$53,0))</x:f>
        <x:v>UNKNOWN</x:v>
      </x:c>
      <x:c r="I23" s="22" t="str">
        <x:f>INDEX('Все серии'!$L$9:$L$53,MATCH("20261001T195754Z_57e25698_lm_api/qwen3-coder-next",'Все серии'!$AL$9:$AL$53,0))</x:f>
        <x:v>UNKNOWN</x:v>
      </x:c>
      <x:c r="J23" s="22" t="n">
        <x:f>INDEX('Все серии'!$M$9:$M$53,MATCH("20261001T195754Z_57e25698_lm_api/qwen3-coder-next",'Все серии'!$AL$9:$AL$53,0))</x:f>
        <x:v>0</x:v>
      </x:c>
      <x:c r="K23" s="22" t="n">
        <x:f>INDEX('Все серии'!$N$9:$N$53,MATCH("20261001T195754Z_57e25698_lm_api/qwen3-coder-next",'Все серии'!$AL$9:$AL$53,0))</x:f>
        <x:v>0</x:v>
      </x:c>
      <x:c r="L23" s="24" t="str">
        <x:f>INDEX('Все серии'!$Q$9:$Q$53,MATCH("20261001T195754Z_57e25698_lm_api/qwen3-coder-next",'Все серии'!$AL$9:$AL$53,0))</x:f>
        <x:v>UNKNOWN</x:v>
      </x:c>
      <x:c r="M23" s="24" t="str">
        <x:f>INDEX('Все серии'!$R$9:$R$53,MATCH("20261001T195754Z_57e25698_lm_api/qwen3-coder-next",'Все серии'!$AL$9:$AL$53,0))</x:f>
        <x:v>UNKNOWN</x:v>
      </x:c>
      <x:c r="N23" s="24" t="str">
        <x:f>INDEX('Все серии'!$S$9:$S$53,MATCH("20261001T195754Z_57e25698_lm_api/qwen3-coder-next",'Все серии'!$AL$9:$AL$53,0))</x:f>
        <x:v>UNKNOWN</x:v>
      </x:c>
      <x:c r="O23" s="24" t="str">
        <x:f>INDEX('Все серии'!$T$9:$T$53,MATCH("20261001T195754Z_57e25698_lm_api/qwen3-coder-next",'Все серии'!$AL$9:$AL$53,0))</x:f>
        <x:v>UNKNOWN</x:v>
      </x:c>
      <x:c r="P23" s="25" t="str">
        <x:f>INDEX('Все серии'!$U$9:$U$53,MATCH("20261001T195754Z_57e25698_lm_api/qwen3-coder-next",'Все серии'!$AL$9:$AL$53,0))</x:f>
        <x:v>UNKNOWN</x:v>
      </x:c>
      <x:c r="Q23" s="24" t="str">
        <x:f>INDEX('Все серии'!$V$9:$V$53,MATCH("20261001T195754Z_57e25698_lm_api/qwen3-coder-next",'Все серии'!$AL$9:$AL$53,0))</x:f>
        <x:v>UNKNOWN</x:v>
      </x:c>
      <x:c r="R23" s="25" t="str">
        <x:f>INDEX('Все серии'!$W$9:$W$53,MATCH("20261001T195754Z_57e25698_lm_api/qwen3-coder-next",'Все серии'!$AL$9:$AL$53,0))</x:f>
        <x:v>UNKNOWN</x:v>
      </x:c>
      <x:c r="S23" s="25" t="str">
        <x:f>INDEX('Все серии'!$Y$9:$Y$53,MATCH("20261001T195754Z_57e25698_lm_api/qwen3-coder-next",'Все серии'!$AL$9:$AL$53,0))</x:f>
        <x:v>UNKNOWN</x:v>
      </x:c>
      <x:c r="T23" s="25" t="str">
        <x:f>INDEX('Все серии'!$Z$9:$Z$53,MATCH("20261001T195754Z_57e25698_lm_api/qwen3-coder-next",'Все серии'!$AL$9:$AL$53,0))</x:f>
        <x:v>UNKNOWN</x:v>
      </x:c>
      <x:c r="U23" s="25" t="n">
        <x:f>INDEX('Все серии'!$AA$9:$AA$53,MATCH("20261001T195754Z_57e25698_lm_api/qwen3-coder-next",'Все серии'!$AL$9:$AL$53,0))</x:f>
        <x:v>31.031917572021484</x:v>
      </x:c>
      <x:c r="V23" s="20" t="str">
        <x:f>INDEX('Все серии'!$AB$9:$AB$53,MATCH("20261001T195754Z_57e25698_lm_api/qwen3-coder-next",'Все серии'!$AL$9:$AL$53,0))</x:f>
        <x:v>Q3_K_S</x:v>
      </x:c>
      <x:c r="W23" s="20" t="n">
        <x:f>INDEX('Все серии'!$AC$9:$AC$53,MATCH("20261001T195754Z_57e25698_lm_api/qwen3-coder-next",'Все серии'!$AL$9:$AL$53,0))</x:f>
        <x:v>0.35</x:v>
      </x:c>
      <x:c r="X23" s="20" t="str">
        <x:f>INDEX('Все серии'!$AD$9:$AD$53,MATCH("20261001T195754Z_57e25698_lm_api/qwen3-coder-next",'Все серии'!$AL$9:$AL$53,0))</x:f>
        <x:v>UNKNOWN</x:v>
      </x:c>
      <x:c r="Y23" s="22" t="str">
        <x:f>INDEX('Все серии'!$AE$9:$AE$53,MATCH("20261001T195754Z_57e25698_lm_api/qwen3-coder-next",'Все серии'!$AL$9:$AL$53,0))</x:f>
        <x:v>UNKNOWN</x:v>
      </x:c>
      <x:c r="Z23" s="22" t="str">
        <x:f>INDEX('Все серии'!$AF$9:$AF$53,MATCH("20261001T195754Z_57e25698_lm_api/qwen3-coder-next",'Все серии'!$AL$9:$AL$53,0))</x:f>
        <x:v>UNKNOWN</x:v>
      </x:c>
      <x:c r="AA23" s="19" t="n">
        <x:f>INDEX('Все серии'!$AG$9:$AG$53,MATCH("20261001T195754Z_57e25698_lm_api/qwen3-coder-next",'Все серии'!$AL$9:$AL$53,0))</x:f>
        <x:v>0</x:v>
      </x:c>
      <x:c r="AB23" s="22" t="n">
        <x:f>INDEX('Все серии'!$AH$9:$AH$53,MATCH("20261001T195754Z_57e25698_lm_api/qwen3-coder-next",'Все серии'!$AL$9:$AL$53,0))</x:f>
        <x:v>512</x:v>
      </x:c>
      <x:c r="AC23" s="22" t="n">
        <x:f>INDEX('Все серии'!$AI$9:$AI$53,MATCH("20261001T195754Z_57e25698_lm_api/qwen3-coder-next",'Все серии'!$AL$9:$AL$53,0))</x:f>
        <x:v>42</x:v>
      </x:c>
      <x:c r="AD23" s="24" t="str">
        <x:f>INDEX('Все серии'!$AJ$9:$AJ$53,MATCH("20261001T195754Z_57e25698_lm_api/qwen3-coder-next",'Все серии'!$AL$9:$AL$53,0))</x:f>
        <x:v>UNKNOWN</x:v>
      </x:c>
      <x:c r="AE23" s="73" t="str">
        <x:f>INDEX('Все серии'!$AK$9:$AK$53,MATCH("20261001T195754Z_57e25698_lm_api/qwen3-coder-next",'Все серии'!$AL$9:$AL$53,0))</x:f>
        <x:v>off-or-low</x:v>
      </x:c>
    </x:row>
    <x:row r="24" ht="46" customHeight="1">
      <x:c r="A24" s="21" t="str">
        <x:f>INDEX('Все серии'!$B$9:$B$53,MATCH("20261001_200720Z_e2dad72a_mercurydev36/mercury-2.5",'Все серии'!$AL$9:$AL$53,0))</x:f>
        <x:v>mercury-2.5</x:v>
      </x:c>
      <x:c r="B24" s="21" t="str">
        <x:f>INDEX('Все серии'!$E$9:$E$53,MATCH("20261001_200720Z_e2dad72a_mercurydev36/mercury-2.5",'Все серии'!$AL$9:$AL$53,0))</x:f>
        <x:v>DEVELOPMENT_ONLY</x:v>
      </x:c>
      <x:c r="C24" s="22" t="n">
        <x:f>INDEX('Все серии'!$F$9:$F$53,MATCH("20261001_200720Z_e2dad72a_mercurydev36/mercury-2.5",'Все серии'!$AL$9:$AL$53,0))</x:f>
        <x:v>36</x:v>
      </x:c>
      <x:c r="D24" s="22" t="n">
        <x:f>INDEX('Все серии'!$G$9:$G$53,MATCH("20261001_200720Z_e2dad72a_mercurydev36/mercury-2.5",'Все серии'!$AL$9:$AL$53,0))</x:f>
        <x:v>27</x:v>
      </x:c>
      <x:c r="E24" s="23" t="n">
        <x:f>INDEX('Все серии'!$H$9:$H$53,MATCH("20261001_200720Z_e2dad72a_mercurydev36/mercury-2.5",'Все серии'!$AL$9:$AL$53,0))</x:f>
        <x:v>0.75</x:v>
      </x:c>
      <x:c r="F24" s="22" t="n">
        <x:f>INDEX('Все серии'!$I$9:$I$53,MATCH("20261001_200720Z_e2dad72a_mercurydev36/mercury-2.5",'Все серии'!$AL$9:$AL$53,0))</x:f>
        <x:v>4</x:v>
      </x:c>
      <x:c r="G24" s="22" t="n">
        <x:f>INDEX('Все серии'!$J$9:$J$53,MATCH("20261001_200720Z_e2dad72a_mercurydev36/mercury-2.5",'Все серии'!$AL$9:$AL$53,0))</x:f>
        <x:v>19819</x:v>
      </x:c>
      <x:c r="H24" s="22" t="n">
        <x:f>INDEX('Все серии'!$K$9:$K$53,MATCH("20261001_200720Z_e2dad72a_mercurydev36/mercury-2.5",'Все серии'!$AL$9:$AL$53,0))</x:f>
        <x:v>6463</x:v>
      </x:c>
      <x:c r="I24" s="22" t="str">
        <x:f>INDEX('Все серии'!$L$9:$L$53,MATCH("20261001_200720Z_e2dad72a_mercurydev36/mercury-2.5",'Все серии'!$AL$9:$AL$53,0))</x:f>
        <x:v>UNKNOWN</x:v>
      </x:c>
      <x:c r="J24" s="22" t="n">
        <x:f>INDEX('Все серии'!$M$9:$M$53,MATCH("20261001_200720Z_e2dad72a_mercurydev36/mercury-2.5",'Все серии'!$AL$9:$AL$53,0))</x:f>
        <x:v>34</x:v>
      </x:c>
      <x:c r="K24" s="22" t="n">
        <x:f>INDEX('Все серии'!$N$9:$N$53,MATCH("20261001_200720Z_e2dad72a_mercurydev36/mercury-2.5",'Все серии'!$AL$9:$AL$53,0))</x:f>
        <x:v>34</x:v>
      </x:c>
      <x:c r="L24" s="24" t="n">
        <x:f>INDEX('Все серии'!$Q$9:$Q$53,MATCH("20261001_200720Z_e2dad72a_mercurydev36/mercury-2.5",'Все серии'!$AL$9:$AL$53,0))</x:f>
        <x:v>1.6966231000005791</x:v>
      </x:c>
      <x:c r="M24" s="24" t="n">
        <x:f>INDEX('Все серии'!$R$9:$R$53,MATCH("20261001_200720Z_e2dad72a_mercurydev36/mercury-2.5",'Все серии'!$AL$9:$AL$53,0))</x:f>
        <x:v>17.358803700000863</x:v>
      </x:c>
      <x:c r="N24" s="24" t="str">
        <x:f>INDEX('Все серии'!$S$9:$S$53,MATCH("20261001_200720Z_e2dad72a_mercurydev36/mercury-2.5",'Все серии'!$AL$9:$AL$53,0))</x:f>
        <x:v>UNKNOWN</x:v>
      </x:c>
      <x:c r="O24" s="24" t="str">
        <x:f>INDEX('Все серии'!$T$9:$T$53,MATCH("20261001_200720Z_e2dad72a_mercurydev36/mercury-2.5",'Все серии'!$AL$9:$AL$53,0))</x:f>
        <x:v>UNKNOWN</x:v>
      </x:c>
      <x:c r="P24" s="25" t="str">
        <x:f>INDEX('Все серии'!$U$9:$U$53,MATCH("20261001_200720Z_e2dad72a_mercurydev36/mercury-2.5",'Все серии'!$AL$9:$AL$53,0))</x:f>
        <x:v>UNKNOWN</x:v>
      </x:c>
      <x:c r="Q24" s="24" t="str">
        <x:f>INDEX('Все серии'!$V$9:$V$53,MATCH("20261001_200720Z_e2dad72a_mercurydev36/mercury-2.5",'Все серии'!$AL$9:$AL$53,0))</x:f>
        <x:v>UNKNOWN</x:v>
      </x:c>
      <x:c r="R24" s="25" t="str">
        <x:f>INDEX('Все серии'!$W$9:$W$53,MATCH("20261001_200720Z_e2dad72a_mercurydev36/mercury-2.5",'Все серии'!$AL$9:$AL$53,0))</x:f>
        <x:v>UNKNOWN</x:v>
      </x:c>
      <x:c r="S24" s="25" t="str">
        <x:f>INDEX('Все серии'!$Y$9:$Y$53,MATCH("20261001_200720Z_e2dad72a_mercurydev36/mercury-2.5",'Все серии'!$AL$9:$AL$53,0))</x:f>
        <x:v>N/A</x:v>
      </x:c>
      <x:c r="T24" s="25" t="str">
        <x:f>INDEX('Все серии'!$Z$9:$Z$53,MATCH("20261001_200720Z_e2dad72a_mercurydev36/mercury-2.5",'Все серии'!$AL$9:$AL$53,0))</x:f>
        <x:v>N/A</x:v>
      </x:c>
      <x:c r="U24" s="25" t="str">
        <x:f>INDEX('Все серии'!$AA$9:$AA$53,MATCH("20261001_200720Z_e2dad72a_mercurydev36/mercury-2.5",'Все серии'!$AL$9:$AL$53,0))</x:f>
        <x:v>N/A</x:v>
      </x:c>
      <x:c r="V24" s="20" t="str">
        <x:f>INDEX('Все серии'!$AB$9:$AB$53,MATCH("20261001_200720Z_e2dad72a_mercurydev36/mercury-2.5",'Все серии'!$AL$9:$AL$53,0))</x:f>
        <x:v>N/A</x:v>
      </x:c>
      <x:c r="W24" s="20" t="str">
        <x:f>INDEX('Все серии'!$AC$9:$AC$53,MATCH("20261001_200720Z_e2dad72a_mercurydev36/mercury-2.5",'Все серии'!$AL$9:$AL$53,0))</x:f>
        <x:v>N/A</x:v>
      </x:c>
      <x:c r="X24" s="20" t="str">
        <x:f>INDEX('Все серии'!$AD$9:$AD$53,MATCH("20261001_200720Z_e2dad72a_mercurydev36/mercury-2.5",'Все серии'!$AL$9:$AL$53,0))</x:f>
        <x:v>N/A</x:v>
      </x:c>
      <x:c r="Y24" s="22" t="str">
        <x:f>INDEX('Все серии'!$AE$9:$AE$53,MATCH("20261001_200720Z_e2dad72a_mercurydev36/mercury-2.5",'Все серии'!$AL$9:$AL$53,0))</x:f>
        <x:v>UNKNOWN</x:v>
      </x:c>
      <x:c r="Z24" s="22" t="str">
        <x:f>INDEX('Все серии'!$AF$9:$AF$53,MATCH("20261001_200720Z_e2dad72a_mercurydev36/mercury-2.5",'Все серии'!$AL$9:$AL$53,0))</x:f>
        <x:v>UNKNOWN</x:v>
      </x:c>
      <x:c r="AA24" s="19" t="n">
        <x:f>INDEX('Все серии'!$AG$9:$AG$53,MATCH("20261001_200720Z_e2dad72a_mercurydev36/mercury-2.5",'Все серии'!$AL$9:$AL$53,0))</x:f>
        <x:v>0</x:v>
      </x:c>
      <x:c r="AB24" s="22" t="n">
        <x:f>INDEX('Все серии'!$AH$9:$AH$53,MATCH("20261001_200720Z_e2dad72a_mercurydev36/mercury-2.5",'Все серии'!$AL$9:$AL$53,0))</x:f>
        <x:v>512</x:v>
      </x:c>
      <x:c r="AC24" s="22" t="str">
        <x:f>INDEX('Все серии'!$AI$9:$AI$53,MATCH("20261001_200720Z_e2dad72a_mercurydev36/mercury-2.5",'Все серии'!$AL$9:$AL$53,0))</x:f>
        <x:v>UNKNOWN</x:v>
      </x:c>
      <x:c r="AD24" s="24" t="str">
        <x:f>INDEX('Все серии'!$AJ$9:$AJ$53,MATCH("20261001_200720Z_e2dad72a_mercurydev36/mercury-2.5",'Все серии'!$AL$9:$AL$53,0))</x:f>
        <x:v>N/A</x:v>
      </x:c>
      <x:c r="AE24" s="73" t="str">
        <x:f>INDEX('Все серии'!$AK$9:$AK$53,MATCH("20261001_200720Z_e2dad72a_mercurydev36/mercury-2.5",'Все серии'!$AL$9:$AL$53,0))</x:f>
        <x:v>instant</x:v>
      </x:c>
    </x:row>
    <x:row r="26">
      <x:c r="A26" s="32" t="str">
        <x:v>Typed decisions: отдельные 12 контролируемых DEV сценариев</x:v>
      </x:c>
    </x:row>
    <x:row r="28" ht="64" customHeight="1">
      <x:c r="A28" s="37" t="str">
        <x:v>Система</x:v>
      </x:c>
      <x:c r="B28" s="37" t="str">
        <x:v>Режим</x:v>
      </x:c>
      <x:c r="C28" s="37" t="str">
        <x:v>N</x:v>
      </x:c>
      <x:c r="D28" s="37" t="str">
        <x:v>Route верно</x:v>
      </x:c>
      <x:c r="E28" s="37" t="str">
        <x:v>Route quality</x:v>
      </x:c>
      <x:c r="F28" s="37" t="str">
        <x:v>Missing data
верно</x:v>
      </x:c>
      <x:c r="G28" s="37" t="str">
        <x:v>Missing data
quality</x:v>
      </x:c>
      <x:c r="H28" s="37" t="str">
        <x:v>p50, с</x:v>
      </x:c>
      <x:c r="I28" s="37" t="str">
        <x:v>p95, с</x:v>
      </x:c>
      <x:c r="J28" s="37" t="str">
        <x:v>Input известно</x:v>
      </x:c>
      <x:c r="K28" s="37" t="str">
        <x:v>Output известно</x:v>
      </x:c>
      <x:c r="L28" s="37" t="str">
        <x:v>Cost estimate USD</x:v>
      </x:c>
      <x:c r="M28" s="37" t="str">
        <x:v>Process RSS GiB</x:v>
      </x:c>
      <x:c r="N28" s="37" t="str">
        <x:v>TTFT</x:v>
      </x:c>
      <x:c r="O28" s="37" t="str">
        <x:v>Output tok/s</x:v>
      </x:c>
    </x:row>
    <x:row r="29" ht="34" customHeight="1">
      <x:c r="A29" s="2" t="str">
        <x:v>Jev 1.13.0</x:v>
      </x:c>
      <x:c r="B29" s="2" t="str">
        <x:v>Remote typed API</x:v>
      </x:c>
      <x:c r="C29" s="54" t="n">
        <x:v>12</x:v>
      </x:c>
      <x:c r="D29" s="54" t="n">
        <x:v>12</x:v>
      </x:c>
      <x:c r="E29" s="53" t="n">
        <x:f>D29/C29</x:f>
        <x:v>1</x:v>
      </x:c>
      <x:c r="F29" s="54" t="n">
        <x:v>10</x:v>
      </x:c>
      <x:c r="G29" s="53" t="n">
        <x:f>F29/C29</x:f>
        <x:v>0.8333333333333334</x:v>
      </x:c>
      <x:c r="H29" s="55" t="n">
        <x:v>0.3967370500004108</x:v>
      </x:c>
      <x:c r="I29" s="55" t="n">
        <x:v>0.6440279950002148</x:v>
      </x:c>
      <x:c r="J29" s="54" t="n">
        <x:v>6697</x:v>
      </x:c>
      <x:c r="K29" s="54" t="n">
        <x:v>1022</x:v>
      </x:c>
      <x:c r="L29" s="56" t="n">
        <x:v>0.00028127400000000003</x:v>
      </x:c>
      <x:c r="M29" s="57" t="str">
        <x:v>N/A</x:v>
      </x:c>
      <x:c r="N29" s="18" t="str">
        <x:v>UNKNOWN</x:v>
      </x:c>
      <x:c r="O29" s="18" t="str">
        <x:v>UNKNOWN</x:v>
      </x:c>
    </x:row>
    <x:row r="30" ht="34" customHeight="1">
      <x:c r="A30" s="2" t="str">
        <x:v>Laya multilingual</x:v>
      </x:c>
      <x:c r="B30" s="2" t="str">
        <x:v>CPU local typed model</x:v>
      </x:c>
      <x:c r="C30" s="54" t="n">
        <x:v>12</x:v>
      </x:c>
      <x:c r="D30" s="54" t="n">
        <x:v>9</x:v>
      </x:c>
      <x:c r="E30" s="53" t="n">
        <x:f>D30/C30</x:f>
        <x:v>0.75</x:v>
      </x:c>
      <x:c r="F30" s="54" t="n">
        <x:v>6</x:v>
      </x:c>
      <x:c r="G30" s="53" t="n">
        <x:f>F30/C30</x:f>
        <x:v>0.5</x:v>
      </x:c>
      <x:c r="H30" s="55" t="n">
        <x:v>0.42405895000047167</x:v>
      </x:c>
      <x:c r="I30" s="55" t="n">
        <x:v>0.6198562150008909</x:v>
      </x:c>
      <x:c r="J30" s="54" t="str">
        <x:v>N/A</x:v>
      </x:c>
      <x:c r="K30" s="54" t="str">
        <x:v>N/A</x:v>
      </x:c>
      <x:c r="L30" s="56" t="str">
        <x:v>N/A</x:v>
      </x:c>
      <x:c r="M30" s="57" t="n">
        <x:v>2.1607933044433594</x:v>
      </x:c>
      <x:c r="N30" s="18" t="str">
        <x:v>N/A</x:v>
      </x:c>
      <x:c r="O30" s="18" t="str">
        <x:v>N/A</x:v>
      </x:c>
    </x:row>
    <x:row r="32" ht="27" customHeight="1">
      <x:c r="A32" s="30" t="str">
        <x:v>Jev: remote VRAM/RAM/offload N/A. Laya RSS — только процесс. Цена Jev — оценка по тарифу, не invoice.</x:v>
      </x:c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</x:row>
    <x:row r="33" ht="27" customHeight="1">
      <x:c r="A33" s="30" t="str">
        <x:v>OpenRouter free: SKIP после HTTP 401, успешных ответов 0.</x:v>
      </x:c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</x:row>
  </x:sheetData>
  <x:conditionalFormatting sqref="B9:B24">
    <x:cfRule type="containsText" dxfId="2" priority="1" operator="containsText" text="NOT_RUN"/>
    <x:cfRule type="containsText" dxfId="3" priority="2" operator="containsText" text="STOP"/>
  </x:conditionalFormatting>
  <x:pageMargins left="0.7" right="0.7" top="0.75" bottom="0.75" header="0.3" footer="0.3"/>
  <x:tableParts count="1">
    <x:tablePart xmlns:r="http://schemas.openxmlformats.org/officeDocument/2006/relationships" r:id="Rc15842055d904e90"/>
  </x:tableParts>
</x:worksheet>
</file>

<file path=xl/worksheets/sheet2.xml><?xml version="1.0" encoding="utf-8"?>
<x:worksheet xmlns:x="http://schemas.openxmlformats.org/spreadsheetml/2006/main">
  <x:sheetPr>
    <x:tabColor rgb="FF476D8E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9" hidden="0" customWidth="1"/>
    <x:col min="2" max="2" width="25" hidden="0" customWidth="1"/>
    <x:col min="3" max="3" width="11" hidden="0" customWidth="1"/>
    <x:col min="4" max="4" width="12" hidden="0" customWidth="1"/>
    <x:col min="5" max="5" width="12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3" hidden="0" customWidth="1"/>
    <x:col min="12" max="12" width="13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5" hidden="0" customWidth="1"/>
    <x:col min="21" max="21" width="12" hidden="0" customWidth="1"/>
    <x:col min="22" max="22" width="12" hidden="0" customWidth="1"/>
    <x:col min="23" max="23" width="12" hidden="0" customWidth="1"/>
    <x:col min="24" max="24" width="18" hidden="0" customWidth="1"/>
    <x:col min="26" max="26" width="9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30" customHeight="1">
      <x:c r="A2" s="4" t="str">
        <x:v>FINAL150: пять замороженных политик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6" customHeight="1">
      <x:c r="A3" s="6" t="str">
        <x:v>Новая выборка: 150 cases × 5 политик. 2 сегмента после WinError5; без replay. Human/manual validation PENDING.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26" customHeight="1">
      <x:c r="A4" s="2" t="str">
        <x:v>Качество = correct / measured. Coverage показывается отдельно. Ошибки включены в знаменатель measured.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26" customHeight="1">
      <x:c r="A5" s="2" t="str">
        <x:v>Reasoning tokens входят в completion tokens и не прибавляются повторно. CI95 — cluster bootstrap по source group.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26" customHeight="1">
      <x:c r="A6" s="2" t="str">
        <x:v>Latency — end-to-end измеренных решений. Стоимость — известная оценка провайдера; электричество и invoice отсутствуют.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26" customHeight="1">
      <x:c r="A7" s="31" t="str">
        <x:v>Mercury: requested temperature 0; provider сообщил effective 1 в 258/270 вызовах; 12 timeout UNKNOWN.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70" customHeight="1">
      <x:c r="A8" s="15" t="str">
        <x:v>Политика</x:v>
      </x:c>
      <x:c r="B8" s="16" t="str">
        <x:v>Статус</x:v>
      </x:c>
      <x:c r="C8" s="16" t="str">
        <x:v>Target N</x:v>
      </x:c>
      <x:c r="D8" s="16" t="str">
        <x:v>Measured N</x:v>
      </x:c>
      <x:c r="E8" s="16" t="str">
        <x:v>Coverage</x:v>
      </x:c>
      <x:c r="F8" s="16" t="str">
        <x:v>Верно</x:v>
      </x:c>
      <x:c r="G8" s="16" t="str">
        <x:v>Качество</x:v>
      </x:c>
      <x:c r="H8" s="16" t="str">
        <x:v>CI95 low</x:v>
      </x:c>
      <x:c r="I8" s="16" t="str">
        <x:v>CI95 high</x:v>
      </x:c>
      <x:c r="J8" s="16" t="str">
        <x:v>Критические ошибки</x:v>
      </x:c>
      <x:c r="K8" s="16" t="str">
        <x:v>Critical rate</x:v>
      </x:c>
      <x:c r="L8" s="16" t="str">
        <x:v>Error decisions</x:v>
      </x:c>
      <x:c r="M8" s="16" t="str">
        <x:v>Call errors</x:v>
      </x:c>
      <x:c r="N8" s="16" t="str">
        <x:v>QA N</x:v>
      </x:c>
      <x:c r="O8" s="16" t="str">
        <x:v>QA EM</x:v>
      </x:c>
      <x:c r="P8" s="16" t="str">
        <x:v>QA F1</x:v>
      </x:c>
      <x:c r="Q8" s="16" t="str">
        <x:v>Cloud calls</x:v>
      </x:c>
      <x:c r="R8" s="16" t="str">
        <x:v>Local calls</x:v>
      </x:c>
      <x:c r="S8" s="16" t="str">
        <x:v>Tool calls</x:v>
      </x:c>
      <x:c r="T8" s="16" t="str">
        <x:v>Latency coverage N</x:v>
      </x:c>
      <x:c r="U8" s="16" t="str">
        <x:v>Mean, с</x:v>
      </x:c>
      <x:c r="V8" s="16" t="str">
        <x:v>p50, с</x:v>
      </x:c>
      <x:c r="W8" s="16" t="str">
        <x:v>p95, с</x:v>
      </x:c>
      <x:c r="X8" s="17" t="str">
        <x:v>Missing / NOT RUN</x:v>
      </x:c>
    </x:row>
    <x:row r="9" ht="46" customHeight="1">
      <x:c r="A9" s="20" t="str">
        <x:v>Local LLM</x:v>
      </x:c>
      <x:c r="B9" s="20" t="str">
        <x:v>MEASURED COMPLETE</x:v>
      </x:c>
      <x:c r="C9" s="22" t="n">
        <x:v>150</x:v>
      </x:c>
      <x:c r="D9" s="22" t="n">
        <x:v>150</x:v>
      </x:c>
      <x:c r="E9" s="23" t="n">
        <x:f>D9/C9</x:f>
        <x:v>1</x:v>
      </x:c>
      <x:c r="F9" s="22" t="n">
        <x:v>102</x:v>
      </x:c>
      <x:c r="G9" s="23" t="n">
        <x:f>IF(D9=0,"NOT RUN",F9/D9)</x:f>
        <x:v>0.68</x:v>
      </x:c>
      <x:c r="H9" s="23" t="n">
        <x:v>0.49373733108108114</x:v>
      </x:c>
      <x:c r="I9" s="23" t="n">
        <x:v>0.8650910364145656</x:v>
      </x:c>
      <x:c r="J9" s="22" t="n">
        <x:v>32</x:v>
      </x:c>
      <x:c r="K9" s="23" t="n">
        <x:f>IF(D9=0,"NOT RUN",J9/D9)</x:f>
        <x:v>0.21333333333333335</x:v>
      </x:c>
      <x:c r="L9" s="22" t="n">
        <x:v>0</x:v>
      </x:c>
      <x:c r="M9" s="22" t="n">
        <x:v>0</x:v>
      </x:c>
      <x:c r="N9" s="22" t="n">
        <x:v>40</x:v>
      </x:c>
      <x:c r="O9" s="23" t="n">
        <x:v>0.9</x:v>
      </x:c>
      <x:c r="P9" s="23" t="n">
        <x:v>0.9533333333333335</x:v>
      </x:c>
      <x:c r="Q9" s="22" t="n">
        <x:v>0</x:v>
      </x:c>
      <x:c r="R9" s="22" t="n">
        <x:v>150</x:v>
      </x:c>
      <x:c r="S9" s="22" t="n">
        <x:v>0</x:v>
      </x:c>
      <x:c r="T9" s="22" t="n">
        <x:v>150</x:v>
      </x:c>
      <x:c r="U9" s="24" t="n">
        <x:v>1.5081780820000055</x:v>
      </x:c>
      <x:c r="V9" s="24" t="n">
        <x:v>1.4219394000001557</x:v>
      </x:c>
      <x:c r="W9" s="24" t="n">
        <x:v>2.3487365600001793</x:v>
      </x:c>
      <x:c r="X9" s="19" t="str">
        <x:v>0 / 0</x:v>
      </x:c>
    </x:row>
    <x:row r="10" ht="46" customHeight="1">
      <x:c r="A10" s="20" t="str">
        <x:v>Cloud Mercury</x:v>
      </x:c>
      <x:c r="B10" s="20" t="str">
        <x:v>MEASURED COMPLETE</x:v>
      </x:c>
      <x:c r="C10" s="22" t="n">
        <x:v>150</x:v>
      </x:c>
      <x:c r="D10" s="22" t="n">
        <x:v>150</x:v>
      </x:c>
      <x:c r="E10" s="23" t="n">
        <x:f>D10/C10</x:f>
        <x:v>1</x:v>
      </x:c>
      <x:c r="F10" s="22" t="n">
        <x:v>130</x:v>
      </x:c>
      <x:c r="G10" s="23" t="n">
        <x:f>IF(D10=0,"NOT RUN",F10/D10)</x:f>
        <x:v>0.8666666666666667</x:v>
      </x:c>
      <x:c r="H10" s="23" t="n">
        <x:v>0.757564935064935</x:v>
      </x:c>
      <x:c r="I10" s="23" t="n">
        <x:v>0.9452081549657534</x:v>
      </x:c>
      <x:c r="J10" s="22" t="n">
        <x:v>0</x:v>
      </x:c>
      <x:c r="K10" s="23" t="n">
        <x:f>IF(D10=0,"NOT RUN",J10/D10)</x:f>
        <x:v>0</x:v>
      </x:c>
      <x:c r="L10" s="22" t="n">
        <x:v>16</x:v>
      </x:c>
      <x:c r="M10" s="22" t="n">
        <x:v>16</x:v>
      </x:c>
      <x:c r="N10" s="22" t="n">
        <x:v>40</x:v>
      </x:c>
      <x:c r="O10" s="23" t="n">
        <x:v>0.925</x:v>
      </x:c>
      <x:c r="P10" s="23" t="n">
        <x:v>0.9755952380952382</x:v>
      </x:c>
      <x:c r="Q10" s="22" t="n">
        <x:v>150</x:v>
      </x:c>
      <x:c r="R10" s="22" t="n">
        <x:v>0</x:v>
      </x:c>
      <x:c r="S10" s="22" t="n">
        <x:v>0</x:v>
      </x:c>
      <x:c r="T10" s="22" t="n">
        <x:v>150</x:v>
      </x:c>
      <x:c r="U10" s="24" t="n">
        <x:v>4.757638408000012</x:v>
      </x:c>
      <x:c r="V10" s="24" t="n">
        <x:v>1.446151800000166</x:v>
      </x:c>
      <x:c r="W10" s="24" t="n">
        <x:v>38.11506436999909</x:v>
      </x:c>
      <x:c r="X10" s="19" t="str">
        <x:v>0 / 0</x:v>
      </x:c>
    </x:row>
    <x:row r="11" ht="46" customHeight="1">
      <x:c r="A11" s="20" t="str">
        <x:v>Tool-first + cloud</x:v>
      </x:c>
      <x:c r="B11" s="20" t="str">
        <x:v>MEASURED COMPLETE</x:v>
      </x:c>
      <x:c r="C11" s="22" t="n">
        <x:v>150</x:v>
      </x:c>
      <x:c r="D11" s="22" t="n">
        <x:v>150</x:v>
      </x:c>
      <x:c r="E11" s="23" t="n">
        <x:f>D11/C11</x:f>
        <x:v>1</x:v>
      </x:c>
      <x:c r="F11" s="22" t="n">
        <x:v>139</x:v>
      </x:c>
      <x:c r="G11" s="23" t="n">
        <x:f>IF(D11=0,"NOT RUN",F11/D11)</x:f>
        <x:v>0.9266666666666666</x:v>
      </x:c>
      <x:c r="H11" s="23" t="n">
        <x:v>0.8846153846153846</x:v>
      </x:c>
      <x:c r="I11" s="23" t="n">
        <x:v>0.9672131147540983</x:v>
      </x:c>
      <x:c r="J11" s="22" t="n">
        <x:v>0</x:v>
      </x:c>
      <x:c r="K11" s="23" t="n">
        <x:f>IF(D11=0,"NOT RUN",J11/D11)</x:f>
        <x:v>0</x:v>
      </x:c>
      <x:c r="L11" s="22" t="n">
        <x:v>5</x:v>
      </x:c>
      <x:c r="M11" s="22" t="n">
        <x:v>5</x:v>
      </x:c>
      <x:c r="N11" s="22" t="n">
        <x:v>40</x:v>
      </x:c>
      <x:c r="O11" s="23" t="n">
        <x:v>0.8</x:v>
      </x:c>
      <x:c r="P11" s="23" t="n">
        <x:v>0.8928174603174603</x:v>
      </x:c>
      <x:c r="Q11" s="22" t="n">
        <x:v>100</x:v>
      </x:c>
      <x:c r="R11" s="22" t="n">
        <x:v>0</x:v>
      </x:c>
      <x:c r="S11" s="22" t="n">
        <x:v>30</x:v>
      </x:c>
      <x:c r="T11" s="22" t="n">
        <x:v>150</x:v>
      </x:c>
      <x:c r="U11" s="24" t="n">
        <x:v>2.6817471826666814</x:v>
      </x:c>
      <x:c r="V11" s="24" t="n">
        <x:v>1.2766502000001765</x:v>
      </x:c>
      <x:c r="W11" s="24" t="n">
        <x:v>3.3395643350000737</x:v>
      </x:c>
      <x:c r="X11" s="19" t="str">
        <x:v>0 / 0</x:v>
      </x:c>
    </x:row>
    <x:row r="12" ht="46" customHeight="1">
      <x:c r="A12" s="20" t="str">
        <x:v>Hybrid</x:v>
      </x:c>
      <x:c r="B12" s="20" t="str">
        <x:v>MEASURED COMPLETE</x:v>
      </x:c>
      <x:c r="C12" s="22" t="n">
        <x:v>150</x:v>
      </x:c>
      <x:c r="D12" s="22" t="n">
        <x:v>150</x:v>
      </x:c>
      <x:c r="E12" s="23" t="n">
        <x:f>D12/C12</x:f>
        <x:v>1</x:v>
      </x:c>
      <x:c r="F12" s="22" t="n">
        <x:v>133</x:v>
      </x:c>
      <x:c r="G12" s="23" t="n">
        <x:f>IF(D12=0,"NOT RUN",F12/D12)</x:f>
        <x:v>0.8866666666666667</x:v>
      </x:c>
      <x:c r="H12" s="23" t="n">
        <x:v>0.7476098901098902</x:v>
      </x:c>
      <x:c r="I12" s="23" t="n">
        <x:v>0.9859154929577465</x:v>
      </x:c>
      <x:c r="J12" s="22" t="n">
        <x:v>0</x:v>
      </x:c>
      <x:c r="K12" s="23" t="n">
        <x:f>IF(D12=0,"NOT RUN",J12/D12)</x:f>
        <x:v>0</x:v>
      </x:c>
      <x:c r="L12" s="22" t="n">
        <x:v>0</x:v>
      </x:c>
      <x:c r="M12" s="22" t="n">
        <x:v>0</x:v>
      </x:c>
      <x:c r="N12" s="22" t="n">
        <x:v>40</x:v>
      </x:c>
      <x:c r="O12" s="23" t="n">
        <x:v>0.9</x:v>
      </x:c>
      <x:c r="P12" s="23" t="n">
        <x:v>0.9533333333333335</x:v>
      </x:c>
      <x:c r="Q12" s="22" t="n">
        <x:v>20</x:v>
      </x:c>
      <x:c r="R12" s="22" t="n">
        <x:v>80</x:v>
      </x:c>
      <x:c r="S12" s="22" t="n">
        <x:v>30</x:v>
      </x:c>
      <x:c r="T12" s="22" t="n">
        <x:v>150</x:v>
      </x:c>
      <x:c r="U12" s="24" t="n">
        <x:v>0.843529490666671</x:v>
      </x:c>
      <x:c r="V12" s="24" t="n">
        <x:v>1.094321300000047</x:v>
      </x:c>
      <x:c r="W12" s="24" t="n">
        <x:v>1.5606822049999882</x:v>
      </x:c>
      <x:c r="X12" s="19" t="str">
        <x:v>0 / 0</x:v>
      </x:c>
    </x:row>
    <x:row r="13" ht="46" customHeight="1">
      <x:c r="A13" s="20" t="str">
        <x:v>Offline</x:v>
      </x:c>
      <x:c r="B13" s="20" t="str">
        <x:v>MEASURED COMPLETE</x:v>
      </x:c>
      <x:c r="C13" s="22" t="n">
        <x:v>150</x:v>
      </x:c>
      <x:c r="D13" s="22" t="n">
        <x:v>150</x:v>
      </x:c>
      <x:c r="E13" s="23" t="n">
        <x:f>D13/C13</x:f>
        <x:v>1</x:v>
      </x:c>
      <x:c r="F13" s="22" t="n">
        <x:v>114</x:v>
      </x:c>
      <x:c r="G13" s="23" t="n">
        <x:f>IF(D13=0,"NOT RUN",F13/D13)</x:f>
        <x:v>0.76</x:v>
      </x:c>
      <x:c r="H13" s="23" t="n">
        <x:v>0.5862014056665934</x:v>
      </x:c>
      <x:c r="I13" s="23" t="n">
        <x:v>0.9117776057791536</x:v>
      </x:c>
      <x:c r="J13" s="22" t="n">
        <x:v>0</x:v>
      </x:c>
      <x:c r="K13" s="23" t="n">
        <x:f>IF(D13=0,"NOT RUN",J13/D13)</x:f>
        <x:v>0</x:v>
      </x:c>
      <x:c r="L13" s="22" t="n">
        <x:v>0</x:v>
      </x:c>
      <x:c r="M13" s="22" t="n">
        <x:v>0</x:v>
      </x:c>
      <x:c r="N13" s="22" t="n">
        <x:v>40</x:v>
      </x:c>
      <x:c r="O13" s="23" t="n">
        <x:v>0.9</x:v>
      </x:c>
      <x:c r="P13" s="23" t="n">
        <x:v>0.9533333333333335</x:v>
      </x:c>
      <x:c r="Q13" s="22" t="n">
        <x:v>0</x:v>
      </x:c>
      <x:c r="R13" s="22" t="n">
        <x:v>80</x:v>
      </x:c>
      <x:c r="S13" s="22" t="n">
        <x:v>30</x:v>
      </x:c>
      <x:c r="T13" s="22" t="n">
        <x:v>150</x:v>
      </x:c>
      <x:c r="U13" s="24" t="n">
        <x:v>0.6554113033333305</x:v>
      </x:c>
      <x:c r="V13" s="24" t="n">
        <x:v>1.0422746499998539</x:v>
      </x:c>
      <x:c r="W13" s="24" t="n">
        <x:v>1.45750910500019</x:v>
      </x:c>
      <x:c r="X13" s="19" t="str">
        <x:v>0 / 0</x:v>
      </x:c>
    </x:row>
    <x:row r="14" ht="27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27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27" customHeight="1">
      <x:c r="A16" s="58" t="str">
        <x:v>Токены, streaming и стоимость по провайдеру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27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78" customHeight="1">
      <x:c r="A18" s="37" t="str">
        <x:v>Политика</x:v>
      </x:c>
      <x:c r="B18" s="37" t="str">
        <x:v>Provider</x:v>
      </x:c>
      <x:c r="C18" s="37" t="str">
        <x:v>Calls</x:v>
      </x:c>
      <x:c r="D18" s="37" t="str">
        <x:v>Input известно</x:v>
      </x:c>
      <x:c r="E18" s="37" t="str">
        <x:v>Output известно</x:v>
      </x:c>
      <x:c r="F18" s="37" t="str">
        <x:v>Reasoning известно</x:v>
      </x:c>
      <x:c r="G18" s="37" t="str">
        <x:v>Input coverage N</x:v>
      </x:c>
      <x:c r="H18" s="37" t="str">
        <x:v>Output coverage N</x:v>
      </x:c>
      <x:c r="I18" s="37" t="str">
        <x:v>Reasoning coverage N</x:v>
      </x:c>
      <x:c r="J18" s="37" t="str">
        <x:v>Usage complete</x:v>
      </x:c>
      <x:c r="K18" s="37" t="str">
        <x:v>Первый delta p50, с</x:v>
      </x:c>
      <x:c r="L18" s="37" t="str">
        <x:v>Первый answer p50, с</x:v>
      </x:c>
      <x:c r="M18" s="37" t="str">
        <x:v>Client approx tok/s</x:v>
      </x:c>
      <x:c r="N18" s="37" t="str">
        <x:v>Cost known USD</x:v>
      </x:c>
      <x:c r="O18" s="37" t="str">
        <x:v>Cost coverage N</x:v>
      </x:c>
      <x:c r="P18" s="37" t="str">
        <x:v>Unknown cost calls</x:v>
      </x:c>
      <x:c r="Q18" s="37" t="str">
        <x:v>Cost / 1000 complete USD</x:v>
      </x:c>
      <x:c r="R18" s="37" t="str">
        <x:v>Cost / 1000 lower bound USD</x:v>
      </x:c>
      <x:c r="S18" s="37" t="str">
        <x:v>Billing source complete</x:v>
      </x:c>
      <x:c r="T18" s="2"/>
      <x:c r="U18" s="2"/>
      <x:c r="V18" s="2"/>
      <x:c r="W18" s="2"/>
      <x:c r="X18" s="2"/>
      <x:c r="Z18" s="30" t="str">
        <x:v>Источник</x:v>
      </x:c>
    </x:row>
    <x:row r="19" ht="34" customHeight="1">
      <x:c r="A19" s="60" t="str">
        <x:v>Local LLM</x:v>
      </x:c>
      <x:c r="B19" s="60" t="str">
        <x:v>local</x:v>
      </x:c>
      <x:c r="C19" s="54" t="n">
        <x:v>150</x:v>
      </x:c>
      <x:c r="D19" s="54" t="n">
        <x:v>76582</x:v>
      </x:c>
      <x:c r="E19" s="54" t="n">
        <x:v>5749</x:v>
      </x:c>
      <x:c r="F19" s="54" t="n">
        <x:v>0</x:v>
      </x:c>
      <x:c r="G19" s="54" t="n">
        <x:v>150</x:v>
      </x:c>
      <x:c r="H19" s="54" t="n">
        <x:v>150</x:v>
      </x:c>
      <x:c r="I19" s="54" t="n">
        <x:v>150</x:v>
      </x:c>
      <x:c r="J19" s="18" t="str">
        <x:v>Да</x:v>
      </x:c>
      <x:c r="K19" s="55" t="n">
        <x:v>0.5775431000001845</x:v>
      </x:c>
      <x:c r="L19" s="55" t="n">
        <x:v>0.5775431000001845</x:v>
      </x:c>
      <x:c r="M19" s="57" t="n">
        <x:v>46.65461747024627</x:v>
      </x:c>
      <x:c r="N19" s="61" t="n">
        <x:v>0</x:v>
      </x:c>
      <x:c r="O19" s="54" t="n">
        <x:v>150</x:v>
      </x:c>
      <x:c r="P19" s="54" t="n">
        <x:v>0</x:v>
      </x:c>
      <x:c r="Q19" s="62" t="str">
        <x:v>N/A</x:v>
      </x:c>
      <x:c r="R19" s="62" t="str">
        <x:v>N/A</x:v>
      </x:c>
      <x:c r="S19" s="18" t="str">
        <x:v>N/A</x:v>
      </x:c>
      <x:c r="T19" s="2"/>
      <x:c r="U19" s="2"/>
      <x:c r="V19" s="2"/>
      <x:c r="W19" s="2"/>
      <x:c r="X19" s="2"/>
      <x:c r="Z19" s="64" t="str">
        <x:v>results/analysis_input_reconciled_20261002_052358Z_804ced2b/analysis_20261002_052438Z_2c0beea8/statistics_reporting_corrected.json</x:v>
      </x:c>
    </x:row>
    <x:row r="20" ht="34" customHeight="1">
      <x:c r="A20" s="60" t="str">
        <x:v>Local LLM</x:v>
      </x:c>
      <x:c r="B20" s="60" t="str">
        <x:v>cloud</x:v>
      </x:c>
      <x:c r="C20" s="54" t="n">
        <x:v>0</x:v>
      </x:c>
      <x:c r="D20" s="54" t="str">
        <x:v>UNKNOWN</x:v>
      </x:c>
      <x:c r="E20" s="54" t="str">
        <x:v>UNKNOWN</x:v>
      </x:c>
      <x:c r="F20" s="54" t="str">
        <x:v>UNKNOWN</x:v>
      </x:c>
      <x:c r="G20" s="54" t="n">
        <x:v>0</x:v>
      </x:c>
      <x:c r="H20" s="54" t="n">
        <x:v>0</x:v>
      </x:c>
      <x:c r="I20" s="54" t="n">
        <x:v>0</x:v>
      </x:c>
      <x:c r="J20" s="18" t="str">
        <x:v>Да</x:v>
      </x:c>
      <x:c r="K20" s="55" t="str">
        <x:v>UNKNOWN</x:v>
      </x:c>
      <x:c r="L20" s="55" t="str">
        <x:v>UNKNOWN</x:v>
      </x:c>
      <x:c r="M20" s="57" t="str">
        <x:v>UNKNOWN</x:v>
      </x:c>
      <x:c r="N20" s="61" t="n">
        <x:v>0</x:v>
      </x:c>
      <x:c r="O20" s="54" t="n">
        <x:v>0</x:v>
      </x:c>
      <x:c r="P20" s="54" t="n">
        <x:v>0</x:v>
      </x:c>
      <x:c r="Q20" s="62" t="n">
        <x:f>IF(AND(D9=C9,P20=0,J20="Да",S20="Да"),N20/C9*1000,"UNKNOWN")</x:f>
        <x:v>0</x:v>
      </x:c>
      <x:c r="R20" s="62" t="str">
        <x:f>IF(AND(D9=C9,P20=0,J20="Да",S20="Да"),"N/A",IF(ISNUMBER(N20),N20/C9*1000,"UNKNOWN"))</x:f>
        <x:v>N/A</x:v>
      </x:c>
      <x:c r="S20" s="18" t="str">
        <x:v>Да</x:v>
      </x:c>
      <x:c r="T20" s="2"/>
      <x:c r="U20" s="2"/>
      <x:c r="V20" s="2"/>
      <x:c r="W20" s="2"/>
      <x:c r="X20" s="2"/>
    </x:row>
    <x:row r="21" ht="34" customHeight="1">
      <x:c r="A21" s="60" t="str">
        <x:v>Cloud Mercury</x:v>
      </x:c>
      <x:c r="B21" s="60" t="str">
        <x:v>local</x:v>
      </x:c>
      <x:c r="C21" s="54" t="n">
        <x:v>0</x:v>
      </x:c>
      <x:c r="D21" s="54" t="str">
        <x:v>UNKNOWN</x:v>
      </x:c>
      <x:c r="E21" s="54" t="str">
        <x:v>UNKNOWN</x:v>
      </x:c>
      <x:c r="F21" s="54" t="str">
        <x:v>UNKNOWN</x:v>
      </x:c>
      <x:c r="G21" s="54" t="n">
        <x:v>0</x:v>
      </x:c>
      <x:c r="H21" s="54" t="n">
        <x:v>0</x:v>
      </x:c>
      <x:c r="I21" s="54" t="n">
        <x:v>0</x:v>
      </x:c>
      <x:c r="J21" s="18" t="str">
        <x:v>Да</x:v>
      </x:c>
      <x:c r="K21" s="55" t="str">
        <x:v>UNKNOWN</x:v>
      </x:c>
      <x:c r="L21" s="55" t="str">
        <x:v>UNKNOWN</x:v>
      </x:c>
      <x:c r="M21" s="57" t="str">
        <x:v>UNKNOWN</x:v>
      </x:c>
      <x:c r="N21" s="61" t="n">
        <x:v>0</x:v>
      </x:c>
      <x:c r="O21" s="54" t="n">
        <x:v>0</x:v>
      </x:c>
      <x:c r="P21" s="54" t="n">
        <x:v>0</x:v>
      </x:c>
      <x:c r="Q21" s="62" t="str">
        <x:v>N/A</x:v>
      </x:c>
      <x:c r="R21" s="62" t="str">
        <x:v>N/A</x:v>
      </x:c>
      <x:c r="S21" s="18" t="str">
        <x:v>N/A</x:v>
      </x:c>
      <x:c r="T21" s="2"/>
      <x:c r="U21" s="2"/>
      <x:c r="V21" s="2"/>
      <x:c r="W21" s="2"/>
      <x:c r="X21" s="2"/>
    </x:row>
    <x:row r="22" ht="34" customHeight="1">
      <x:c r="A22" s="60" t="str">
        <x:v>Cloud Mercury</x:v>
      </x:c>
      <x:c r="B22" s="60" t="str">
        <x:v>cloud</x:v>
      </x:c>
      <x:c r="C22" s="54" t="n">
        <x:v>150</x:v>
      </x:c>
      <x:c r="D22" s="54" t="n">
        <x:v>86561</x:v>
      </x:c>
      <x:c r="E22" s="54" t="n">
        <x:v>25027</x:v>
      </x:c>
      <x:c r="F22" s="54" t="n">
        <x:v>667</x:v>
      </x:c>
      <x:c r="G22" s="54" t="n">
        <x:v>142</x:v>
      </x:c>
      <x:c r="H22" s="54" t="n">
        <x:v>142</x:v>
      </x:c>
      <x:c r="I22" s="54" t="n">
        <x:v>142</x:v>
      </x:c>
      <x:c r="J22" s="18" t="str">
        <x:v>Нет</x:v>
      </x:c>
      <x:c r="K22" s="55" t="str">
        <x:v>UNKNOWN</x:v>
      </x:c>
      <x:c r="L22" s="55" t="str">
        <x:v>UNKNOWN</x:v>
      </x:c>
      <x:c r="M22" s="57" t="str">
        <x:v>UNKNOWN</x:v>
      </x:c>
      <x:c r="N22" s="61" t="n">
        <x:v>0.00721649</x:v>
      </x:c>
      <x:c r="O22" s="54" t="n">
        <x:v>142</x:v>
      </x:c>
      <x:c r="P22" s="54" t="n">
        <x:v>8</x:v>
      </x:c>
      <x:c r="Q22" s="62" t="str">
        <x:f>IF(AND(D10=C10,P22=0,J22="Да",S22="Да"),N22/C10*1000,"UNKNOWN")</x:f>
        <x:v>UNKNOWN</x:v>
      </x:c>
      <x:c r="R22" s="62" t="n">
        <x:f>IF(AND(D10=C10,P22=0,J22="Да",S22="Да"),"N/A",IF(ISNUMBER(N22),N22/C10*1000,"UNKNOWN"))</x:f>
        <x:v>0.048109933333333334</x:v>
      </x:c>
      <x:c r="S22" s="18" t="str">
        <x:v>Нет</x:v>
      </x:c>
      <x:c r="T22" s="2"/>
      <x:c r="U22" s="2"/>
      <x:c r="V22" s="2"/>
      <x:c r="W22" s="2"/>
      <x:c r="X22" s="2"/>
    </x:row>
    <x:row r="23" ht="34" customHeight="1">
      <x:c r="A23" s="60" t="str">
        <x:v>Tool-first + cloud</x:v>
      </x:c>
      <x:c r="B23" s="60" t="str">
        <x:v>local</x:v>
      </x:c>
      <x:c r="C23" s="54" t="n">
        <x:v>0</x:v>
      </x:c>
      <x:c r="D23" s="54" t="str">
        <x:v>UNKNOWN</x:v>
      </x:c>
      <x:c r="E23" s="54" t="str">
        <x:v>UNKNOWN</x:v>
      </x:c>
      <x:c r="F23" s="54" t="str">
        <x:v>UNKNOWN</x:v>
      </x:c>
      <x:c r="G23" s="54" t="n">
        <x:v>0</x:v>
      </x:c>
      <x:c r="H23" s="54" t="n">
        <x:v>0</x:v>
      </x:c>
      <x:c r="I23" s="54" t="n">
        <x:v>0</x:v>
      </x:c>
      <x:c r="J23" s="18" t="str">
        <x:v>Да</x:v>
      </x:c>
      <x:c r="K23" s="55" t="str">
        <x:v>UNKNOWN</x:v>
      </x:c>
      <x:c r="L23" s="55" t="str">
        <x:v>UNKNOWN</x:v>
      </x:c>
      <x:c r="M23" s="57" t="str">
        <x:v>UNKNOWN</x:v>
      </x:c>
      <x:c r="N23" s="61" t="n">
        <x:v>0</x:v>
      </x:c>
      <x:c r="O23" s="54" t="n">
        <x:v>0</x:v>
      </x:c>
      <x:c r="P23" s="54" t="n">
        <x:v>0</x:v>
      </x:c>
      <x:c r="Q23" s="62" t="str">
        <x:v>N/A</x:v>
      </x:c>
      <x:c r="R23" s="62" t="str">
        <x:v>N/A</x:v>
      </x:c>
      <x:c r="S23" s="18" t="str">
        <x:v>N/A</x:v>
      </x:c>
      <x:c r="T23" s="2"/>
      <x:c r="U23" s="2"/>
      <x:c r="V23" s="2"/>
      <x:c r="W23" s="2"/>
      <x:c r="X23" s="2"/>
    </x:row>
    <x:row r="24" ht="34" customHeight="1">
      <x:c r="A24" s="60" t="str">
        <x:v>Tool-first + cloud</x:v>
      </x:c>
      <x:c r="B24" s="60" t="str">
        <x:v>cloud</x:v>
      </x:c>
      <x:c r="C24" s="54" t="n">
        <x:v>100</x:v>
      </x:c>
      <x:c r="D24" s="54" t="n">
        <x:v>55437</x:v>
      </x:c>
      <x:c r="E24" s="54" t="n">
        <x:v>14134</x:v>
      </x:c>
      <x:c r="F24" s="54" t="n">
        <x:v>1442</x:v>
      </x:c>
      <x:c r="G24" s="54" t="n">
        <x:v>96</x:v>
      </x:c>
      <x:c r="H24" s="54" t="n">
        <x:v>96</x:v>
      </x:c>
      <x:c r="I24" s="54" t="n">
        <x:v>96</x:v>
      </x:c>
      <x:c r="J24" s="18" t="str">
        <x:v>Нет</x:v>
      </x:c>
      <x:c r="K24" s="55" t="str">
        <x:v>UNKNOWN</x:v>
      </x:c>
      <x:c r="L24" s="55" t="str">
        <x:v>UNKNOWN</x:v>
      </x:c>
      <x:c r="M24" s="57" t="str">
        <x:v>UNKNOWN</x:v>
      </x:c>
      <x:c r="N24" s="61" t="n">
        <x:v>0.00433758</x:v>
      </x:c>
      <x:c r="O24" s="54" t="n">
        <x:v>96</x:v>
      </x:c>
      <x:c r="P24" s="54" t="n">
        <x:v>4</x:v>
      </x:c>
      <x:c r="Q24" s="62" t="str">
        <x:f>IF(AND(D11=C11,P24=0,J24="Да",S24="Да"),N24/C11*1000,"UNKNOWN")</x:f>
        <x:v>UNKNOWN</x:v>
      </x:c>
      <x:c r="R24" s="62" t="n">
        <x:f>IF(AND(D11=C11,P24=0,J24="Да",S24="Да"),"N/A",IF(ISNUMBER(N24),N24/C11*1000,"UNKNOWN"))</x:f>
        <x:v>0.028917199999999997</x:v>
      </x:c>
      <x:c r="S24" s="18" t="str">
        <x:v>Нет</x:v>
      </x:c>
      <x:c r="T24" s="2"/>
      <x:c r="U24" s="2"/>
      <x:c r="V24" s="2"/>
      <x:c r="W24" s="2"/>
      <x:c r="X24" s="2"/>
    </x:row>
    <x:row r="25" ht="34" customHeight="1">
      <x:c r="A25" s="60" t="str">
        <x:v>Hybrid</x:v>
      </x:c>
      <x:c r="B25" s="60" t="str">
        <x:v>local</x:v>
      </x:c>
      <x:c r="C25" s="54" t="n">
        <x:v>80</x:v>
      </x:c>
      <x:c r="D25" s="54" t="n">
        <x:v>39476</x:v>
      </x:c>
      <x:c r="E25" s="54" t="n">
        <x:v>2649</x:v>
      </x:c>
      <x:c r="F25" s="54" t="n">
        <x:v>0</x:v>
      </x:c>
      <x:c r="G25" s="54" t="n">
        <x:v>80</x:v>
      </x:c>
      <x:c r="H25" s="54" t="n">
        <x:v>80</x:v>
      </x:c>
      <x:c r="I25" s="54" t="n">
        <x:v>80</x:v>
      </x:c>
      <x:c r="J25" s="18" t="str">
        <x:v>Да</x:v>
      </x:c>
      <x:c r="K25" s="55" t="n">
        <x:v>0.2797053000001597</x:v>
      </x:c>
      <x:c r="L25" s="55" t="n">
        <x:v>0.2797053000001597</x:v>
      </x:c>
      <x:c r="M25" s="57" t="n">
        <x:v>47.964045814516766</x:v>
      </x:c>
      <x:c r="N25" s="61" t="n">
        <x:v>0</x:v>
      </x:c>
      <x:c r="O25" s="54" t="n">
        <x:v>80</x:v>
      </x:c>
      <x:c r="P25" s="54" t="n">
        <x:v>0</x:v>
      </x:c>
      <x:c r="Q25" s="62" t="str">
        <x:v>N/A</x:v>
      </x:c>
      <x:c r="R25" s="62" t="str">
        <x:v>N/A</x:v>
      </x:c>
      <x:c r="S25" s="18" t="str">
        <x:v>N/A</x:v>
      </x:c>
      <x:c r="T25" s="2"/>
      <x:c r="U25" s="2"/>
      <x:c r="V25" s="2"/>
      <x:c r="W25" s="2"/>
      <x:c r="X25" s="2"/>
    </x:row>
    <x:row r="26" ht="34" customHeight="1">
      <x:c r="A26" s="60" t="str">
        <x:v>Hybrid</x:v>
      </x:c>
      <x:c r="B26" s="60" t="str">
        <x:v>cloud</x:v>
      </x:c>
      <x:c r="C26" s="54" t="n">
        <x:v>20</x:v>
      </x:c>
      <x:c r="D26" s="54" t="n">
        <x:v>10781</x:v>
      </x:c>
      <x:c r="E26" s="54" t="n">
        <x:v>2401</x:v>
      </x:c>
      <x:c r="F26" s="54" t="n">
        <x:v>241</x:v>
      </x:c>
      <x:c r="G26" s="54" t="n">
        <x:v>20</x:v>
      </x:c>
      <x:c r="H26" s="54" t="n">
        <x:v>20</x:v>
      </x:c>
      <x:c r="I26" s="54" t="n">
        <x:v>20</x:v>
      </x:c>
      <x:c r="J26" s="18" t="str">
        <x:v>Да</x:v>
      </x:c>
      <x:c r="K26" s="55" t="str">
        <x:v>UNKNOWN</x:v>
      </x:c>
      <x:c r="L26" s="55" t="str">
        <x:v>UNKNOWN</x:v>
      </x:c>
      <x:c r="M26" s="57" t="str">
        <x:v>UNKNOWN</x:v>
      </x:c>
      <x:c r="N26" s="61" t="n">
        <x:v>0.00079139</x:v>
      </x:c>
      <x:c r="O26" s="54" t="n">
        <x:v>20</x:v>
      </x:c>
      <x:c r="P26" s="54" t="n">
        <x:v>0</x:v>
      </x:c>
      <x:c r="Q26" s="62" t="n">
        <x:f>IF(AND(D12=C12,P26=0,J26="Да",S26="Да"),N26/C12*1000,"UNKNOWN")</x:f>
        <x:v>0.005275933333333333</x:v>
      </x:c>
      <x:c r="R26" s="62" t="str">
        <x:f>IF(AND(D12=C12,P26=0,J26="Да",S26="Да"),"N/A",IF(ISNUMBER(N26),N26/C12*1000,"UNKNOWN"))</x:f>
        <x:v>N/A</x:v>
      </x:c>
      <x:c r="S26" s="18" t="str">
        <x:v>Да</x:v>
      </x:c>
      <x:c r="T26" s="2"/>
      <x:c r="U26" s="2"/>
      <x:c r="V26" s="2"/>
      <x:c r="W26" s="2"/>
      <x:c r="X26" s="2"/>
    </x:row>
    <x:row r="27" ht="34" customHeight="1">
      <x:c r="A27" s="60" t="str">
        <x:v>Offline</x:v>
      </x:c>
      <x:c r="B27" s="60" t="str">
        <x:v>local</x:v>
      </x:c>
      <x:c r="C27" s="54" t="n">
        <x:v>80</x:v>
      </x:c>
      <x:c r="D27" s="54" t="n">
        <x:v>39476</x:v>
      </x:c>
      <x:c r="E27" s="54" t="n">
        <x:v>2649</x:v>
      </x:c>
      <x:c r="F27" s="54" t="n">
        <x:v>0</x:v>
      </x:c>
      <x:c r="G27" s="54" t="n">
        <x:v>80</x:v>
      </x:c>
      <x:c r="H27" s="54" t="n">
        <x:v>80</x:v>
      </x:c>
      <x:c r="I27" s="54" t="n">
        <x:v>80</x:v>
      </x:c>
      <x:c r="J27" s="18" t="str">
        <x:v>Да</x:v>
      </x:c>
      <x:c r="K27" s="55" t="n">
        <x:v>0.2792215000000624</x:v>
      </x:c>
      <x:c r="L27" s="55" t="n">
        <x:v>0.2792215000000624</x:v>
      </x:c>
      <x:c r="M27" s="57" t="n">
        <x:v>48.00300784908465</x:v>
      </x:c>
      <x:c r="N27" s="61" t="n">
        <x:v>0</x:v>
      </x:c>
      <x:c r="O27" s="54" t="n">
        <x:v>80</x:v>
      </x:c>
      <x:c r="P27" s="54" t="n">
        <x:v>0</x:v>
      </x:c>
      <x:c r="Q27" s="62" t="str">
        <x:v>N/A</x:v>
      </x:c>
      <x:c r="R27" s="62" t="str">
        <x:v>N/A</x:v>
      </x:c>
      <x:c r="S27" s="18" t="str">
        <x:v>N/A</x:v>
      </x:c>
      <x:c r="T27" s="2"/>
      <x:c r="U27" s="2"/>
      <x:c r="V27" s="2"/>
      <x:c r="W27" s="2"/>
      <x:c r="X27" s="2"/>
    </x:row>
    <x:row r="28" ht="34" customHeight="1">
      <x:c r="A28" s="60" t="str">
        <x:v>Offline</x:v>
      </x:c>
      <x:c r="B28" s="60" t="str">
        <x:v>cloud</x:v>
      </x:c>
      <x:c r="C28" s="54" t="n">
        <x:v>0</x:v>
      </x:c>
      <x:c r="D28" s="54" t="str">
        <x:v>UNKNOWN</x:v>
      </x:c>
      <x:c r="E28" s="54" t="str">
        <x:v>UNKNOWN</x:v>
      </x:c>
      <x:c r="F28" s="54" t="str">
        <x:v>UNKNOWN</x:v>
      </x:c>
      <x:c r="G28" s="54" t="n">
        <x:v>0</x:v>
      </x:c>
      <x:c r="H28" s="54" t="n">
        <x:v>0</x:v>
      </x:c>
      <x:c r="I28" s="54" t="n">
        <x:v>0</x:v>
      </x:c>
      <x:c r="J28" s="18" t="str">
        <x:v>Да</x:v>
      </x:c>
      <x:c r="K28" s="55" t="str">
        <x:v>UNKNOWN</x:v>
      </x:c>
      <x:c r="L28" s="55" t="str">
        <x:v>UNKNOWN</x:v>
      </x:c>
      <x:c r="M28" s="57" t="str">
        <x:v>UNKNOWN</x:v>
      </x:c>
      <x:c r="N28" s="61" t="n">
        <x:v>0</x:v>
      </x:c>
      <x:c r="O28" s="54" t="n">
        <x:v>0</x:v>
      </x:c>
      <x:c r="P28" s="54" t="n">
        <x:v>0</x:v>
      </x:c>
      <x:c r="Q28" s="62" t="n">
        <x:f>IF(AND(D13=C13,P28=0,J28="Да",S28="Да"),N28/C13*1000,"UNKNOWN")</x:f>
        <x:v>0</x:v>
      </x:c>
      <x:c r="R28" s="62" t="str">
        <x:f>IF(AND(D13=C13,P28=0,J28="Да",S28="Да"),"N/A",IF(ISNUMBER(N28),N28/C13*1000,"UNKNOWN"))</x:f>
        <x:v>N/A</x:v>
      </x:c>
      <x:c r="S28" s="18" t="str">
        <x:v>Да</x:v>
      </x:c>
      <x:c r="T28" s="2"/>
      <x:c r="U28" s="2"/>
      <x:c r="V28" s="2"/>
      <x:c r="W28" s="2"/>
      <x:c r="X28" s="2"/>
    </x:row>
    <x:row r="29" ht="27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27" customHeight="1">
      <x:c r="A30" s="2" t="str">
        <x:v>N/A означает неприменимый показатель. UNKNOWN означает отсутствующее измерение. Нулевые вызовы имеют настоящую стоимость 0.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27" customHeight="1">
      <x:c r="A31" s="2" t="str">
        <x:v>Всего FINAL: 310 local + 270 cloud вызовов; известная cloud cost $0.01234546 + 12 unknown-cost timeout calls.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27" customHeight="1">
      <x:c r="A32" s="58" t="str">
        <x:v>Память FINAL150: общий sampled peak прогона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27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66" customHeight="1">
      <x:c r="A34" s="37" t="str">
        <x:v>Local model</x:v>
      </x:c>
      <x:c r="B34" s="37" t="str">
        <x:v>VRAM весь GPU MiB</x:v>
      </x:c>
      <x:c r="C34" s="37" t="str">
        <x:v>VRAM весь GPU GiB</x:v>
      </x:c>
      <x:c r="D34" s="37" t="str">
        <x:v>RAM весь ПК GiB</x:v>
      </x:c>
      <x:c r="E34" s="37" t="str">
        <x:v>Offload запрошен</x:v>
      </x:c>
      <x:c r="F34" s="37" t="str">
        <x:v>GPU layers
факт.</x:v>
      </x:c>
      <x:c r="G34" s="37" t="str">
        <x:v>Load сегмента 2, с</x:v>
      </x:c>
      <x:c r="H34" s="37" t="str">
        <x:v>Контекст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34" customHeight="1">
      <x:c r="A35" s="60" t="str">
        <x:v>gemma-4-26b-a4b-it</x:v>
      </x:c>
      <x:c r="B35" s="54" t="n">
        <x:v>13758</x:v>
      </x:c>
      <x:c r="C35" s="57" t="n">
        <x:f>IF(ISNUMBER(B35),B35/1024,"UNKNOWN")</x:f>
        <x:v>13.435546875</x:v>
      </x:c>
      <x:c r="D35" s="57" t="n">
        <x:v>24.754192352294922</x:v>
      </x:c>
      <x:c r="E35" s="18" t="str">
        <x:v>0.70</x:v>
      </x:c>
      <x:c r="F35" s="18" t="str">
        <x:v>UNKNOWN</x:v>
      </x:c>
      <x:c r="G35" s="55" t="n">
        <x:v>8.767373899999711</x:v>
      </x:c>
      <x:c r="H35" s="18" t="n">
        <x:v>4096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27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27" customHeight="1">
      <x:c r="A37" s="2" t="str">
        <x:v>Память относится ко всему FINAL запуску. Samples 2862; original poll error log UNKNOWN. Remote cloud VRAM/RAM/offload N/A.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27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27" customHeight="1">
      <x:c r="A39" s="58" t="str">
        <x:v>Основной контраст: hybrid минус tool_cloud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27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32" customHeight="1">
      <x:c r="A41" s="65" t="str">
        <x:v>Критерий</x:v>
      </x:c>
      <x:c r="B41" s="65" t="str">
        <x:v>Значение</x:v>
      </x:c>
      <x:c r="C41" s="65" t="str">
        <x:v>Порог</x:v>
      </x:c>
      <x:c r="D41" s="65" t="str">
        <x:v>Условие</x:v>
      </x:c>
      <x:c r="E41" s="65" t="str">
        <x:v>Статус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30" customHeight="1">
      <x:c r="A42" s="2" t="str">
        <x:v>Quality CI low</x:v>
      </x:c>
      <x:c r="B42" s="48" t="n">
        <x:v>-0.1764795552367288</x:v>
      </x:c>
      <x:c r="C42" s="48" t="n">
        <x:v>-0.05</x:v>
      </x:c>
      <x:c r="D42" s="66" t="str">
        <x:v>&gt;=</x:v>
      </x:c>
      <x:c r="E42" s="66" t="str">
        <x:v>FAIL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30" customHeight="1">
      <x:c r="A43" s="2" t="str">
        <x:v>Cloud call reduction</x:v>
      </x:c>
      <x:c r="B43" s="48" t="n">
        <x:v>0.5333333333333333</x:v>
      </x:c>
      <x:c r="C43" s="48" t="n">
        <x:v>0.1</x:v>
      </x:c>
      <x:c r="D43" s="66" t="str">
        <x:v>&gt;=</x:v>
      </x:c>
      <x:c r="E43" s="66" t="str">
        <x:v>PASS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30" customHeight="1">
      <x:c r="A44" s="2" t="str">
        <x:v>Critical difference CI high</x:v>
      </x:c>
      <x:c r="B44" s="48" t="n">
        <x:v>0</x:v>
      </x:c>
      <x:c r="C44" s="48" t="n">
        <x:v>0</x:v>
      </x:c>
      <x:c r="D44" s="66" t="str">
        <x:v>&lt;=</x:v>
      </x:c>
      <x:c r="E44" s="66" t="str">
        <x:v>PASS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30" customHeight="1">
      <x:c r="A45" s="2" t="str">
        <x:v>Hybrid p95, с</x:v>
      </x:c>
      <x:c r="B45" s="50" t="n">
        <x:v>1.5606822049999882</x:v>
      </x:c>
      <x:c r="C45" s="50" t="n">
        <x:v>10</x:v>
      </x:c>
      <x:c r="D45" s="66" t="str">
        <x:v>&lt;=</x:v>
      </x:c>
      <x:c r="E45" s="66" t="str">
        <x:v>PASS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27" customHeight="1">
      <x:c r="A46" s="2" t="str">
        <x:v>Разность качества hybrid − tool_cloud: -4.0 п.п.; CI95 [-17.65; 5.83] п.п.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27" customHeight="1">
      <x:c r="A47" s="2" t="str">
        <x:v>Статус гипотезы: EVALUATED. Поддержка на frozen controlled sample: false.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27" customHeight="1">
      <x:c r="A48" s="2" t="str">
        <x:v>Отсутствие noninferiority не доказывает inferiority. Human manual audit и переносимость на агрономическую практику не установлены.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27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27" customHeight="1">
      <x:c r="A50" s="58" t="str">
        <x:v>Сегменты исполнения и холодные загрузки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27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46" customHeight="1">
      <x:c r="A52" s="59" t="str">
        <x:v>Сегмент</x:v>
      </x:c>
      <x:c r="B52" s="59" t="str">
        <x:v>Cold load, с</x:v>
      </x:c>
      <x:c r="C52" s="59" t="str">
        <x:v>Решения сохранены</x:v>
      </x:c>
      <x:c r="D52" s="59" t="str">
        <x:v>Примечание</x:v>
      </x:c>
      <x:c r="E52" s="59"/>
      <x:c r="F52" s="59"/>
      <x:c r="G52" s="59"/>
      <x:c r="H52" s="59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54" customHeight="1">
      <x:c r="A53" s="67" t="str">
        <x:v>20261002_043909Z_5d0044d9_final</x:v>
      </x:c>
      <x:c r="B53" s="70" t="n">
        <x:v>14.77836000000002</x:v>
      </x:c>
      <x:c r="C53" s="69" t="n">
        <x:v>30</x:v>
      </x:c>
      <x:c r="D53" s="67" t="str">
        <x:v>Interrupted by WinError5; saved manifest state is stale running</x:v>
      </x:c>
      <x:c r="E53" s="67"/>
      <x:c r="F53" s="67"/>
      <x:c r="G53" s="67"/>
      <x:c r="H53" s="67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54" customHeight="1">
      <x:c r="A54" s="67" t="str">
        <x:v>20261002_045739Z_06b07e40_final_continuation</x:v>
      </x:c>
      <x:c r="B54" s="70" t="n">
        <x:v>8.767373899999711</x:v>
      </x:c>
      <x:c r="C54" s="69" t="n">
        <x:v>720</x:v>
      </x:c>
      <x:c r="D54" s="67" t="str">
        <x:v>completed_with_errors</x:v>
      </x:c>
      <x:c r="E54" s="67"/>
      <x:c r="F54" s="67"/>
      <x:c r="G54" s="67"/>
      <x:c r="H54" s="67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27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45" customHeight="1">
      <x:c r="A56" s="21" t="str">
        <x:v>Filesystem interruption after original decisions; explicit manual continuation of remaining cases in new segment, no policy output or HTTP call replay; original frozen protocol/data/scoring retained</x:v>
      </x:c>
      <x:c r="B56" s="21"/>
      <x:c r="C56" s="21"/>
      <x:c r="D56" s="21"/>
      <x:c r="E56" s="21"/>
      <x:c r="F56" s="21"/>
      <x:c r="G56" s="21"/>
      <x:c r="H56" s="21"/>
      <x:c r="I56" s="21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45" customHeight="1">
      <x:c r="A57" s="21" t="str">
        <x:v>Метрики по уникальным решениям вычислены; строгий непрерывный preregistered запуск не заявлен. Gap и повторная загрузка не входят в latency решения.</x:v>
      </x:c>
      <x:c r="B57" s="21"/>
      <x:c r="C57" s="21"/>
      <x:c r="D57" s="21"/>
      <x:c r="E57" s="21"/>
      <x:c r="F57" s="21"/>
      <x:c r="G57" s="21"/>
      <x:c r="H57" s="21"/>
      <x:c r="I57" s="21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45" customHeight="1">
      <x:c r="A58" s="21" t="str">
        <x:v>Interruption gap sampled: 998.585 с; cold loads: 2; 750 unique sample × policy pairs, no replay.</x:v>
      </x:c>
      <x:c r="B58" s="21"/>
      <x:c r="C58" s="21"/>
      <x:c r="D58" s="21"/>
      <x:c r="E58" s="21"/>
      <x:c r="F58" s="21"/>
      <x:c r="G58" s="21"/>
      <x:c r="H58" s="21"/>
      <x:c r="I58" s="21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45" customHeight="1">
      <x:c r="A59" s="21" t="str">
        <x:v>Local FINAL: Gemma 26B IQ4_NL_XL; context 4096; parallel 1; offload requested 0.70; temp 0; top_p 1; seed 42; max_tokens 512; reasoning none; strict JSON schema.</x:v>
      </x:c>
      <x:c r="B59" s="21"/>
      <x:c r="C59" s="21"/>
      <x:c r="D59" s="21"/>
      <x:c r="E59" s="21"/>
      <x:c r="F59" s="21"/>
      <x:c r="G59" s="21"/>
      <x:c r="H59" s="21"/>
      <x:c r="I59" s="21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45" customHeight="1">
      <x:c r="A60" s="21" t="str">
        <x:v>Backend decode TPS / native TTFT FINAL: UNKNOWN. Mercury effective temperature — provider-reported; independently verified sampling UNKNOWN.</x:v>
      </x:c>
      <x:c r="B60" s="21"/>
      <x:c r="C60" s="21"/>
      <x:c r="D60" s="21"/>
      <x:c r="E60" s="21"/>
      <x:c r="F60" s="21"/>
      <x:c r="G60" s="21"/>
      <x:c r="H60" s="21"/>
      <x:c r="I60" s="21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45" customHeight="1">
      <x:c r="A61" s="21" t="str">
        <x:v>QA/scoring controlled benchmark; compound reasoning Hybrid 8/20 vs Tool-first + cloud 18/20. Manual30 validation PENDING.</x:v>
      </x:c>
      <x:c r="B61" s="21"/>
      <x:c r="C61" s="21"/>
      <x:c r="D61" s="21"/>
      <x:c r="E61" s="21"/>
      <x:c r="F61" s="21"/>
      <x:c r="G61" s="21"/>
      <x:c r="H61" s="21"/>
      <x:c r="I61" s="21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27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27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27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27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</x:sheetData>
  <x:mergeCells>
    <x:mergeCell ref="D52:H52"/>
    <x:mergeCell ref="D53:H53"/>
    <x:mergeCell ref="D54:H54"/>
    <x:mergeCell ref="A56:I56"/>
    <x:mergeCell ref="A57:I57"/>
    <x:mergeCell ref="A58:I58"/>
    <x:mergeCell ref="A59:I59"/>
    <x:mergeCell ref="A60:I60"/>
    <x:mergeCell ref="A61:I61"/>
  </x:mergeCells>
  <x:pageMargins left="0.7" right="0.7" top="0.75" bottom="0.75" header="0.3" footer="0.3"/>
  <x:tableParts count="2">
    <x:tablePart xmlns:r="http://schemas.openxmlformats.org/officeDocument/2006/relationships" r:id="Rd15351a402a14f58"/>
    <x:tablePart xmlns:r="http://schemas.openxmlformats.org/officeDocument/2006/relationships" r:id="Rd59cb32befab4f8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5" hidden="0" customWidth="1"/>
    <x:col min="2" max="2" width="48" hidden="0" customWidth="1"/>
    <x:col min="3" max="3" width="40" hidden="0" customWidth="1"/>
    <x:col min="4" max="4" width="15" hidden="0" customWidth="1"/>
    <x:col min="5" max="5" width="27" hidden="0" customWidth="1"/>
    <x:col min="6" max="6" width="7" hidden="0" customWidth="1"/>
    <x:col min="7" max="7" width="13" hidden="0" customWidth="1"/>
    <x:col min="8" max="8" width="12" hidden="0" customWidth="1"/>
    <x:col min="9" max="9" width="13" hidden="0" customWidth="1"/>
    <x:col min="10" max="10" width="15" hidden="0" customWidth="1"/>
    <x:col min="11" max="11" width="15" hidden="0" customWidth="1"/>
    <x:col min="12" max="12" width="15" hidden="0" customWidth="1"/>
    <x:col min="13" max="13" width="13" hidden="0" customWidth="1"/>
    <x:col min="14" max="14" width="13" hidden="0" customWidth="1"/>
    <x:col min="15" max="15" width="13" hidden="0" customWidth="1"/>
    <x:col min="16" max="16" width="11" hidden="0" customWidth="1"/>
    <x:col min="17" max="17" width="11" hidden="0" customWidth="1"/>
    <x:col min="18" max="18" width="11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6" hidden="0" customWidth="1"/>
    <x:col min="29" max="29" width="15" hidden="0" customWidth="1"/>
    <x:col min="30" max="30" width="19" hidden="0" customWidth="1"/>
    <x:col min="31" max="31" width="11" hidden="0" customWidth="1"/>
    <x:col min="32" max="32" width="11" hidden="0" customWidth="1"/>
    <x:col min="33" max="33" width="13" hidden="0" customWidth="1"/>
    <x:col min="34" max="34" width="13" hidden="0" customWidth="1"/>
    <x:col min="35" max="35" width="9" hidden="0" customWidth="1"/>
    <x:col min="36" max="36" width="13" hidden="0" customWidth="1"/>
    <x:col min="37" max="37" width="18" hidden="0" customWidth="1"/>
    <x:col min="38" max="38" width="87" hidden="0" customWidth="1"/>
    <x:col min="39" max="39" width="3" hidden="0" customWidth="1"/>
    <x:col min="40" max="40" width="85" hidden="0" customWidth="1"/>
    <x:col min="42" max="42" width="10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30" customHeight="1">
      <x:c r="A2" s="4" t="str">
        <x:v>Все сохранённые серии и ресурсы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</x:row>
    <x:row r="3" ht="26" customHeight="1">
      <x:c r="A3" s="6" t="str">
        <x:v>API и CLI — отдельные серии измерений. Повторные DEV-запросы не суммируются в качество.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26" customHeight="1">
      <x:c r="A4" s="2" t="str">
        <x:v>LM Studio API запросы</x:v>
      </x:c>
      <x:c r="B4" s="2" t="n">
        <x:f>SUMIFS(F9:F53,A9:A53,"LM Studio API DEV")</x:f>
        <x:v>242</x:v>
      </x:c>
      <x:c r="C4" s="2"/>
      <x:c r="D4" s="2" t="str">
        <x:v>Input tokens API</x:v>
      </x:c>
      <x:c r="E4" s="2" t="n">
        <x:f>SUMIFS(J9:J53,A9:A53,"LM Studio API DEV")</x:f>
        <x:v>113332</x:v>
      </x:c>
      <x:c r="F4" s="2"/>
      <x:c r="G4" s="2" t="str">
        <x:v>Output API</x:v>
      </x:c>
      <x:c r="H4" s="2" t="n">
        <x:f>SUMIFS(K9:K53,A9:A53,"LM Studio API DEV")</x:f>
        <x:v>17259</x:v>
      </x:c>
      <x:c r="I4" s="2"/>
      <x:c r="J4" s="2" t="str">
        <x:v>Reasoning API</x:v>
      </x:c>
      <x:c r="K4" s="2" t="n">
        <x:f>SUMIFS(L9:L53,A9:A53,"LM Studio API DEV")</x:f>
        <x:v>9083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26" customHeight="1">
      <x:c r="A5" s="2" t="str">
        <x:v>Исторические CLI запросы</x:v>
      </x:c>
      <x:c r="B5" s="2" t="n">
        <x:f>SUMIFS(F9:F53,A9:A53,"Historical CLI DEV")</x:f>
        <x:v>339</x:v>
      </x:c>
      <x:c r="C5" s="2"/>
      <x:c r="D5" s="2" t="str">
        <x:v>Input tokens CLI</x:v>
      </x:c>
      <x:c r="E5" s="2" t="n">
        <x:f>SUMIFS(J9:J53,A9:A53,"Historical CLI DEV")</x:f>
        <x:v>135133</x:v>
      </x:c>
      <x:c r="F5" s="2"/>
      <x:c r="G5" s="2" t="str">
        <x:v>Output CLI</x:v>
      </x:c>
      <x:c r="H5" s="2" t="n">
        <x:f>SUMIFS(K9:K53,A9:A53,"Historical CLI DEV")</x:f>
        <x:v>39087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ht="26" customHeight="1">
      <x:c r="A6" s="2" t="str">
        <x:v>API usage 242/242. CLI usage 286/339. VRAM/RAM — sampled peak всего GPU/ПК, не аллокация модели.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6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70" customHeight="1">
      <x:c r="A8" s="15" t="str">
        <x:v>Серия</x:v>
      </x:c>
      <x:c r="B8" s="16" t="str">
        <x:v>Модель</x:v>
      </x:c>
      <x:c r="C8" s="16" t="str">
        <x:v>Run ID</x:v>
      </x:c>
      <x:c r="D8" s="16" t="str">
        <x:v>Выборка</x:v>
      </x:c>
      <x:c r="E8" s="16" t="str">
        <x:v>Статус</x:v>
      </x:c>
      <x:c r="F8" s="16" t="str">
        <x:v>N</x:v>
      </x:c>
      <x:c r="G8" s="16" t="str">
        <x:v>Верно</x:v>
      </x:c>
      <x:c r="H8" s="16" t="str">
        <x:v>Качество</x:v>
      </x:c>
      <x:c r="I8" s="16" t="str">
        <x:v>Ошибки</x:v>
      </x:c>
      <x:c r="J8" s="16" t="str">
        <x:v>Input известно</x:v>
      </x:c>
      <x:c r="K8" s="16" t="str">
        <x:v>Output известно</x:v>
      </x:c>
      <x:c r="L8" s="16" t="str">
        <x:v>Reasoning известно</x:v>
      </x:c>
      <x:c r="M8" s="16" t="str">
        <x:v>Input coverage N</x:v>
      </x:c>
      <x:c r="N8" s="16" t="str">
        <x:v>Output coverage N</x:v>
      </x:c>
      <x:c r="O8" s="16" t="str">
        <x:v>Reasoning coverage N</x:v>
      </x:c>
      <x:c r="P8" s="16" t="str">
        <x:v>Среднее, с</x:v>
      </x:c>
      <x:c r="Q8" s="16" t="str">
        <x:v>p50, с</x:v>
      </x:c>
      <x:c r="R8" s="16" t="str">
        <x:v>p95, с</x:v>
      </x:c>
      <x:c r="S8" s="16" t="str">
        <x:v>Первый delta p50, с</x:v>
      </x:c>
      <x:c r="T8" s="16" t="str">
        <x:v>Первый answer p50, с</x:v>
      </x:c>
      <x:c r="U8" s="16" t="str">
        <x:v>Client approx tok/s</x:v>
      </x:c>
      <x:c r="V8" s="16" t="str">
        <x:v>Backend TTFT p50, с</x:v>
      </x:c>
      <x:c r="W8" s="16" t="str">
        <x:v>Backend decode tok/s</x:v>
      </x:c>
      <x:c r="X8" s="16" t="str">
        <x:v>VRAM весь GPU MiB</x:v>
      </x:c>
      <x:c r="Y8" s="16" t="str">
        <x:v>VRAM весь GPU GiB</x:v>
      </x:c>
      <x:c r="Z8" s="16" t="str">
        <x:v>RAM весь ПК GiB</x:v>
      </x:c>
      <x:c r="AA8" s="16" t="str">
        <x:v>Каталог файлов GiB</x:v>
      </x:c>
      <x:c r="AB8" s="16" t="str">
        <x:v>Квантование</x:v>
      </x:c>
      <x:c r="AC8" s="16" t="str">
        <x:v>Offload запрошен</x:v>
      </x:c>
      <x:c r="AD8" s="16" t="str">
        <x:v>GPU layers фактически</x:v>
      </x:c>
      <x:c r="AE8" s="16" t="str">
        <x:v>Контекст</x:v>
      </x:c>
      <x:c r="AF8" s="16" t="str">
        <x:v>Parallel</x:v>
      </x:c>
      <x:c r="AG8" s="16" t="str">
        <x:v>Temperature requested</x:v>
      </x:c>
      <x:c r="AH8" s="16" t="str">
        <x:v>Max tokens</x:v>
      </x:c>
      <x:c r="AI8" s="16" t="str">
        <x:v>Seed</x:v>
      </x:c>
      <x:c r="AJ8" s="16" t="str">
        <x:v>Cold load, с</x:v>
      </x:c>
      <x:c r="AK8" s="16" t="str">
        <x:v>Reasoning профиль</x:v>
      </x:c>
      <x:c r="AL8" s="16" t="str">
        <x:v>Run model ID</x:v>
      </x:c>
      <x:c r="AM8" s="26" t="str"/>
      <x:c r="AN8" s="29" t="str">
        <x:v>Источник</x:v>
      </x:c>
      <x:c r="AP8" s="31" t="str">
        <x:v>Примечание</x:v>
      </x:c>
    </x:row>
    <x:row r="9" ht="46" customHeight="1">
      <x:c r="A9" s="21" t="str">
        <x:v>LM Studio API DEV</x:v>
      </x:c>
      <x:c r="B9" s="21" t="str">
        <x:v>gemma-4-26b-a4b-it</x:v>
      </x:c>
      <x:c r="C9" s="21" t="str">
        <x:v>20261001T194301Z_47eaacd5_lm_api</x:v>
      </x:c>
      <x:c r="D9" s="21" t="str">
        <x:v>old_dev</x:v>
      </x:c>
      <x:c r="E9" s="21" t="str">
        <x:v>EARLY_STOP</x:v>
      </x:c>
      <x:c r="F9" s="22" t="n">
        <x:v>6</x:v>
      </x:c>
      <x:c r="G9" s="22" t="n">
        <x:v>2</x:v>
      </x:c>
      <x:c r="H9" s="23" t="n">
        <x:f>IF(F9=0,"NOT RUN",G9/F9)</x:f>
        <x:v>0.3333333333333333</x:v>
      </x:c>
      <x:c r="I9" s="22" t="n">
        <x:v>4</x:v>
      </x:c>
      <x:c r="J9" s="22" t="n">
        <x:v>2903</x:v>
      </x:c>
      <x:c r="K9" s="22" t="n">
        <x:v>2539</x:v>
      </x:c>
      <x:c r="L9" s="22" t="n">
        <x:v>2452</x:v>
      </x:c>
      <x:c r="M9" s="22" t="n">
        <x:v>6</x:v>
      </x:c>
      <x:c r="N9" s="22" t="n">
        <x:v>6</x:v>
      </x:c>
      <x:c r="O9" s="22" t="n">
        <x:v>6</x:v>
      </x:c>
      <x:c r="P9" s="24" t="n">
        <x:v>13.889182616666707</x:v>
      </x:c>
      <x:c r="Q9" s="24" t="n">
        <x:v>16.248230399999557</x:v>
      </x:c>
      <x:c r="R9" s="24" t="n">
        <x:v>17.22884639999984</x:v>
      </x:c>
      <x:c r="S9" s="24" t="n">
        <x:v>0.742146849999699</x:v>
      </x:c>
      <x:c r="T9" s="24" t="str">
        <x:v>UNKNOWN</x:v>
      </x:c>
      <x:c r="U9" s="25" t="n">
        <x:v>32.74981260176135</x:v>
      </x:c>
      <x:c r="V9" s="24" t="str">
        <x:v>UNKNOWN</x:v>
      </x:c>
      <x:c r="W9" s="25" t="n">
        <x:v>32.35</x:v>
      </x:c>
      <x:c r="X9" s="22" t="n">
        <x:v>14019</x:v>
      </x:c>
      <x:c r="Y9" s="25" t="n">
        <x:f>IF(ISNUMBER(X9),X9/1024,X9)</x:f>
        <x:v>13.6904296875</x:v>
      </x:c>
      <x:c r="Z9" s="25" t="n">
        <x:v>27.274593353271484</x:v>
      </x:c>
      <x:c r="AA9" s="25" t="n">
        <x:v>15.690822293050587</x:v>
      </x:c>
      <x:c r="AB9" s="73" t="str">
        <x:v>IQ4_NL_XL</x:v>
      </x:c>
      <x:c r="AC9" s="20" t="str">
        <x:v>0.70</x:v>
      </x:c>
      <x:c r="AD9" s="20" t="str">
        <x:v>UNKNOWN</x:v>
      </x:c>
      <x:c r="AE9" s="22" t="n">
        <x:v>4096</x:v>
      </x:c>
      <x:c r="AF9" s="22" t="n">
        <x:v>1</x:v>
      </x:c>
      <x:c r="AG9" s="19" t="n">
        <x:v>0</x:v>
      </x:c>
      <x:c r="AH9" s="22" t="n">
        <x:v>512</x:v>
      </x:c>
      <x:c r="AI9" s="22" t="n">
        <x:v>42</x:v>
      </x:c>
      <x:c r="AJ9" s="24" t="n">
        <x:v>29.57046199999968</x:v>
      </x:c>
      <x:c r="AK9" s="20" t="str">
        <x:v>UNKNOWN</x:v>
      </x:c>
      <x:c r="AL9" s="20" t="str">
        <x:v>20261001T194301Z_47eaacd5_lm_api/gemma-4-26b-a4b-it</x:v>
      </x:c>
      <x:c r="AM9" s="28"/>
      <x:c r="AN9" s="28" t="str">
        <x:v>results/20261001T194301Z_47eaacd5_lm_api/gemma-4-26b-a4b-it_raw.jsonl</x:v>
      </x:c>
      <x:c r="AP9" s="31" t="str">
        <x:v>four errors; no automatic per-sample retries. Default reasoning diagnostic Backend decode aligned in saved own-instance log 6/6.</x:v>
      </x:c>
    </x:row>
    <x:row r="10" ht="46" customHeight="1">
      <x:c r="A10" s="21" t="str">
        <x:v>LM Studio API DEV</x:v>
      </x:c>
      <x:c r="B10" s="21" t="str">
        <x:v>gemma-4-26b-a4b-it</x:v>
      </x:c>
      <x:c r="C10" s="21" t="str">
        <x:v>20261001T194606Z_8e662ec9_lm_api</x:v>
      </x:c>
      <x:c r="D10" s="21" t="str">
        <x:v>old_dev</x:v>
      </x:c>
      <x:c r="E10" s="21" t="str">
        <x:v>measured</x:v>
      </x:c>
      <x:c r="F10" s="22" t="n">
        <x:v>12</x:v>
      </x:c>
      <x:c r="G10" s="22" t="n">
        <x:v>9</x:v>
      </x:c>
      <x:c r="H10" s="23" t="n">
        <x:f>IF(F10=0,"NOT RUN",G10/F10)</x:f>
        <x:v>0.75</x:v>
      </x:c>
      <x:c r="I10" s="22" t="n">
        <x:v>0</x:v>
      </x:c>
      <x:c r="J10" s="22" t="n">
        <x:v>5764</x:v>
      </x:c>
      <x:c r="K10" s="22" t="n">
        <x:v>408</x:v>
      </x:c>
      <x:c r="L10" s="22" t="n">
        <x:v>0</x:v>
      </x:c>
      <x:c r="M10" s="22" t="n">
        <x:v>12</x:v>
      </x:c>
      <x:c r="N10" s="22" t="n">
        <x:v>12</x:v>
      </x:c>
      <x:c r="O10" s="22" t="n">
        <x:v>12</x:v>
      </x:c>
      <x:c r="P10" s="24" t="n">
        <x:v>1.542104408333368</x:v>
      </x:c>
      <x:c r="Q10" s="24" t="n">
        <x:v>1.4666219999999157</x:v>
      </x:c>
      <x:c r="R10" s="24" t="n">
        <x:v>1.9269057800007425</x:v>
      </x:c>
      <x:c r="S10" s="24" t="n">
        <x:v>0.6255107500001031</x:v>
      </x:c>
      <x:c r="T10" s="24" t="str">
        <x:v>UNKNOWN</x:v>
      </x:c>
      <x:c r="U10" s="25" t="n">
        <x:v>44.767260146051484</x:v>
      </x:c>
      <x:c r="V10" s="24" t="str">
        <x:v>UNKNOWN</x:v>
      </x:c>
      <x:c r="W10" s="25" t="n">
        <x:v>34.620000000000005</x:v>
      </x:c>
      <x:c r="X10" s="22" t="n">
        <x:v>14022</x:v>
      </x:c>
      <x:c r="Y10" s="25" t="n">
        <x:f>IF(ISNUMBER(X10),X10/1024,X10)</x:f>
        <x:v>13.693359375</x:v>
      </x:c>
      <x:c r="Z10" s="25" t="n">
        <x:v>26.853214263916016</x:v>
      </x:c>
      <x:c r="AA10" s="25" t="n">
        <x:v>15.690822293050587</x:v>
      </x:c>
      <x:c r="AB10" s="73" t="str">
        <x:v>IQ4_NL_XL</x:v>
      </x:c>
      <x:c r="AC10" s="20" t="str">
        <x:v>0.70</x:v>
      </x:c>
      <x:c r="AD10" s="20" t="str">
        <x:v>UNKNOWN</x:v>
      </x:c>
      <x:c r="AE10" s="22" t="n">
        <x:v>4096</x:v>
      </x:c>
      <x:c r="AF10" s="22" t="n">
        <x:v>1</x:v>
      </x:c>
      <x:c r="AG10" s="19" t="n">
        <x:v>0</x:v>
      </x:c>
      <x:c r="AH10" s="22" t="n">
        <x:v>512</x:v>
      </x:c>
      <x:c r="AI10" s="22" t="n">
        <x:v>42</x:v>
      </x:c>
      <x:c r="AJ10" s="24" t="n">
        <x:v>10.967643500000122</x:v>
      </x:c>
      <x:c r="AK10" s="20" t="str">
        <x:v>off-or-low</x:v>
      </x:c>
      <x:c r="AL10" s="20" t="str">
        <x:v>20261001T194606Z_8e662ec9_lm_api/gemma-4-26b-a4b-it</x:v>
      </x:c>
      <x:c r="AM10" s="28"/>
      <x:c r="AN10" s="28" t="str">
        <x:v>results/20261001T194606Z_8e662ec9_lm_api/gemma-4-26b-a4b-it_raw.jsonl</x:v>
      </x:c>
      <x:c r="AP10" s="31" t="str">
        <x:v> Backend decode aligned in saved own-instance log 12/12.</x:v>
      </x:c>
    </x:row>
    <x:row r="11" ht="46" customHeight="1">
      <x:c r="A11" s="21" t="str">
        <x:v>LM Studio API DEV</x:v>
      </x:c>
      <x:c r="B11" s="21" t="str">
        <x:v>qwen3.8-27b</x:v>
      </x:c>
      <x:c r="C11" s="21" t="str">
        <x:v>20261001T194807Z_f5edc9b3_lm_api</x:v>
      </x:c>
      <x:c r="D11" s="21" t="str">
        <x:v>old_dev</x:v>
      </x:c>
      <x:c r="E11" s="21" t="str">
        <x:v>measured</x:v>
      </x:c>
      <x:c r="F11" s="22" t="n">
        <x:v>36</x:v>
      </x:c>
      <x:c r="G11" s="22" t="n">
        <x:v>25</x:v>
      </x:c>
      <x:c r="H11" s="23" t="n">
        <x:f>IF(F11=0,"NOT RUN",G11/F11)</x:f>
        <x:v>0.6944444444444444</x:v>
      </x:c>
      <x:c r="I11" s="22" t="n">
        <x:v>0</x:v>
      </x:c>
      <x:c r="J11" s="22" t="n">
        <x:v>16486</x:v>
      </x:c>
      <x:c r="K11" s="22" t="n">
        <x:v>1109</x:v>
      </x:c>
      <x:c r="L11" s="22" t="n">
        <x:v>0</x:v>
      </x:c>
      <x:c r="M11" s="22" t="n">
        <x:v>36</x:v>
      </x:c>
      <x:c r="N11" s="22" t="n">
        <x:v>36</x:v>
      </x:c>
      <x:c r="O11" s="22" t="n">
        <x:v>36</x:v>
      </x:c>
      <x:c r="P11" s="24" t="n">
        <x:v>3.1861106138890642</x:v>
      </x:c>
      <x:c r="Q11" s="24" t="n">
        <x:v>3.0302098000001934</x:v>
      </x:c>
      <x:c r="R11" s="24" t="n">
        <x:v>4.24372884999957</x:v>
      </x:c>
      <x:c r="S11" s="24" t="n">
        <x:v>0.8341464000004635</x:v>
      </x:c>
      <x:c r="T11" s="24" t="n">
        <x:v>0.8341464000004635</x:v>
      </x:c>
      <x:c r="U11" s="25" t="n">
        <x:v>14.35792864623695</x:v>
      </x:c>
      <x:c r="V11" s="24" t="str">
        <x:v>UNKNOWN</x:v>
      </x:c>
      <x:c r="W11" s="25" t="n">
        <x:v>13.545</x:v>
      </x:c>
      <x:c r="X11" s="22" t="n">
        <x:v>15189</x:v>
      </x:c>
      <x:c r="Y11" s="25" t="n">
        <x:f>IF(ISNUMBER(X11),X11/1024,X11)</x:f>
        <x:v>14.8330078125</x:v>
      </x:c>
      <x:c r="Z11" s="25" t="n">
        <x:v>27.800556182861328</x:v>
      </x:c>
      <x:c r="AA11" s="25" t="n">
        <x:v>16.197610154747963</x:v>
      </x:c>
      <x:c r="AB11" s="73" t="str">
        <x:v>Q4_K_M</x:v>
      </x:c>
      <x:c r="AC11" s="20" t="str">
        <x:v>0.75</x:v>
      </x:c>
      <x:c r="AD11" s="20" t="str">
        <x:v>UNKNOWN</x:v>
      </x:c>
      <x:c r="AE11" s="22" t="n">
        <x:v>4096</x:v>
      </x:c>
      <x:c r="AF11" s="22" t="n">
        <x:v>1</x:v>
      </x:c>
      <x:c r="AG11" s="19" t="n">
        <x:v>0</x:v>
      </x:c>
      <x:c r="AH11" s="22" t="n">
        <x:v>512</x:v>
      </x:c>
      <x:c r="AI11" s="22" t="n">
        <x:v>42</x:v>
      </x:c>
      <x:c r="AJ11" s="24" t="n">
        <x:v>23.97627620000094</x:v>
      </x:c>
      <x:c r="AK11" s="20" t="str">
        <x:v>off-or-low</x:v>
      </x:c>
      <x:c r="AL11" s="20" t="str">
        <x:v>20261001T194807Z_f5edc9b3_lm_api/qwen3.8-27b</x:v>
      </x:c>
      <x:c r="AM11" s="28"/>
      <x:c r="AN11" s="28" t="str">
        <x:v>results/20261001T194807Z_f5edc9b3_lm_api/qwen3.8-27b_raw.jsonl</x:v>
      </x:c>
      <x:c r="AP11" s="31" t="str">
        <x:v> Backend decode aligned in saved own-instance log 36/36.</x:v>
      </x:c>
    </x:row>
    <x:row r="12" ht="46" customHeight="1">
      <x:c r="A12" s="21" t="str">
        <x:v>LM Studio API DEV</x:v>
      </x:c>
      <x:c r="B12" s="21" t="str">
        <x:v>qwen3.5-35b-a3b</x:v>
      </x:c>
      <x:c r="C12" s="21" t="str">
        <x:v>20261001T194807Z_f5edc9b3_lm_api</x:v>
      </x:c>
      <x:c r="D12" s="21" t="str">
        <x:v>old_dev</x:v>
      </x:c>
      <x:c r="E12" s="21" t="str">
        <x:v>RESOURCE_STOP</x:v>
      </x:c>
      <x:c r="F12" s="22" t="n">
        <x:v>13</x:v>
      </x:c>
      <x:c r="G12" s="22" t="n">
        <x:v>7</x:v>
      </x:c>
      <x:c r="H12" s="23" t="n">
        <x:f>IF(F12=0,"NOT RUN",G12/F12)</x:f>
        <x:v>0.5384615384615384</x:v>
      </x:c>
      <x:c r="I12" s="22" t="n">
        <x:v>0</x:v>
      </x:c>
      <x:c r="J12" s="22" t="n">
        <x:v>6124</x:v>
      </x:c>
      <x:c r="K12" s="22" t="n">
        <x:v>411</x:v>
      </x:c>
      <x:c r="L12" s="22" t="n">
        <x:v>0</x:v>
      </x:c>
      <x:c r="M12" s="22" t="n">
        <x:v>13</x:v>
      </x:c>
      <x:c r="N12" s="22" t="n">
        <x:v>13</x:v>
      </x:c>
      <x:c r="O12" s="22" t="n">
        <x:v>13</x:v>
      </x:c>
      <x:c r="P12" s="24" t="n">
        <x:v>2.3758186230769263</x:v>
      </x:c>
      <x:c r="Q12" s="24" t="n">
        <x:v>1.7335896999993565</x:v>
      </x:c>
      <x:c r="R12" s="24" t="n">
        <x:v>5.26836688000002</x:v>
      </x:c>
      <x:c r="S12" s="24" t="n">
        <x:v>0.7148194999990665</x:v>
      </x:c>
      <x:c r="T12" s="24" t="n">
        <x:v>0.7148194999990665</x:v>
      </x:c>
      <x:c r="U12" s="25" t="n">
        <x:v>31.091332724459214</x:v>
      </x:c>
      <x:c r="V12" s="24" t="str">
        <x:v>UNKNOWN</x:v>
      </x:c>
      <x:c r="W12" s="25" t="n">
        <x:v>28.74</x:v>
      </x:c>
      <x:c r="X12" s="22" t="n">
        <x:v>14101</x:v>
      </x:c>
      <x:c r="Y12" s="25" t="n">
        <x:f>IF(ISNUMBER(X12),X12/1024,X12)</x:f>
        <x:v>13.7705078125</x:v>
      </x:c>
      <x:c r="Z12" s="25" t="n">
        <x:v>29.765369415283203</x:v>
      </x:c>
      <x:c r="AA12" s="25" t="n">
        <x:v>20.481590742245317</x:v>
      </x:c>
      <x:c r="AB12" s="73" t="str">
        <x:v>Q4_K_L</x:v>
      </x:c>
      <x:c r="AC12" s="20" t="str">
        <x:v>0.55</x:v>
      </x:c>
      <x:c r="AD12" s="20" t="str">
        <x:v>UNKNOWN</x:v>
      </x:c>
      <x:c r="AE12" s="22" t="n">
        <x:v>4096</x:v>
      </x:c>
      <x:c r="AF12" s="22" t="n">
        <x:v>1</x:v>
      </x:c>
      <x:c r="AG12" s="19" t="n">
        <x:v>0</x:v>
      </x:c>
      <x:c r="AH12" s="22" t="n">
        <x:v>512</x:v>
      </x:c>
      <x:c r="AI12" s="22" t="n">
        <x:v>42</x:v>
      </x:c>
      <x:c r="AJ12" s="24" t="n">
        <x:v>49.08162569999877</x:v>
      </x:c>
      <x:c r="AK12" s="20" t="str">
        <x:v>off-or-low</x:v>
      </x:c>
      <x:c r="AL12" s="20" t="str">
        <x:v>20261001T194807Z_f5edc9b3_lm_api/qwen3.5-35b-a3b</x:v>
      </x:c>
      <x:c r="AM12" s="28"/>
      <x:c r="AN12" s="28" t="str">
        <x:v>results/20261001T194807Z_f5edc9b3_lm_api/qwen3.5-35b-a3b_raw.jsonl</x:v>
      </x:c>
      <x:c r="AP12" s="31" t="str">
        <x:v>{"type": "RuntimeError"}. Whole-system RAM guard stopped series Backend decode aligned in saved own-instance log 13/13.</x:v>
      </x:c>
    </x:row>
    <x:row r="13" ht="46" customHeight="1">
      <x:c r="A13" s="21" t="str">
        <x:v>LM Studio API DEV</x:v>
      </x:c>
      <x:c r="B13" s="21" t="str">
        <x:v>gpt-oss-20b</x:v>
      </x:c>
      <x:c r="C13" s="21" t="str">
        <x:v>20261001T195351Z_61a2f68c_lm_api</x:v>
      </x:c>
      <x:c r="D13" s="21" t="str">
        <x:v>old_dev</x:v>
      </x:c>
      <x:c r="E13" s="21" t="str">
        <x:v>EARLY_STOP</x:v>
      </x:c>
      <x:c r="F13" s="22" t="n">
        <x:v>13</x:v>
      </x:c>
      <x:c r="G13" s="22" t="n">
        <x:v>8</x:v>
      </x:c>
      <x:c r="H13" s="23" t="n">
        <x:f>IF(F13=0,"NOT RUN",G13/F13)</x:f>
        <x:v>0.6153846153846154</x:v>
      </x:c>
      <x:c r="I13" s="22" t="n">
        <x:v>4</x:v>
      </x:c>
      <x:c r="J13" s="22" t="n">
        <x:v>6437</x:v>
      </x:c>
      <x:c r="K13" s="22" t="n">
        <x:v>4515</x:v>
      </x:c>
      <x:c r="L13" s="22" t="n">
        <x:v>4181</x:v>
      </x:c>
      <x:c r="M13" s="22" t="n">
        <x:v>13</x:v>
      </x:c>
      <x:c r="N13" s="22" t="n">
        <x:v>13</x:v>
      </x:c>
      <x:c r="O13" s="22" t="n">
        <x:v>13</x:v>
      </x:c>
      <x:c r="P13" s="24" t="n">
        <x:v>3.411787030769399</x:v>
      </x:c>
      <x:c r="Q13" s="24" t="n">
        <x:v>3.156782399999429</x:v>
      </x:c>
      <x:c r="R13" s="24" t="n">
        <x:v>5.133421240000825</x:v>
      </x:c>
      <x:c r="S13" s="24" t="n">
        <x:v>0.18225170000005164</x:v>
      </x:c>
      <x:c r="T13" s="24" t="n">
        <x:v>2.7480158000016672</x:v>
      </x:c>
      <x:c r="U13" s="25" t="n">
        <x:v>109.71219066768889</x:v>
      </x:c>
      <x:c r="V13" s="24" t="str">
        <x:v>UNKNOWN</x:v>
      </x:c>
      <x:c r="W13" s="25" t="n">
        <x:v>106.26</x:v>
      </x:c>
      <x:c r="X13" s="22" t="n">
        <x:v>12455</x:v>
      </x:c>
      <x:c r="Y13" s="25" t="n">
        <x:f>IF(ISNUMBER(X13),X13/1024,X13)</x:f>
        <x:v>12.1630859375</x:v>
      </x:c>
      <x:c r="Z13" s="25" t="n">
        <x:v>23.476333618164062</x:v>
      </x:c>
      <x:c r="AA13" s="25" t="n">
        <x:v>11.277914802543819</x:v>
      </x:c>
      <x:c r="AB13" s="73" t="str">
        <x:v>Q8_0</x:v>
      </x:c>
      <x:c r="AC13" s="20" t="str">
        <x:v>max</x:v>
      </x:c>
      <x:c r="AD13" s="20" t="str">
        <x:v>UNKNOWN</x:v>
      </x:c>
      <x:c r="AE13" s="22" t="n">
        <x:v>4096</x:v>
      </x:c>
      <x:c r="AF13" s="22" t="n">
        <x:v>1</x:v>
      </x:c>
      <x:c r="AG13" s="19" t="n">
        <x:v>0</x:v>
      </x:c>
      <x:c r="AH13" s="22" t="n">
        <x:v>512</x:v>
      </x:c>
      <x:c r="AI13" s="22" t="n">
        <x:v>42</x:v>
      </x:c>
      <x:c r="AJ13" s="24" t="n">
        <x:v>17.04803119999997</x:v>
      </x:c>
      <x:c r="AK13" s="20" t="str">
        <x:v>off-or-low</x:v>
      </x:c>
      <x:c r="AL13" s="20" t="str">
        <x:v>20261001T195351Z_61a2f68c_lm_api/gpt-oss-20b</x:v>
      </x:c>
      <x:c r="AM13" s="28"/>
      <x:c r="AN13" s="28" t="str">
        <x:v>results/20261001T195351Z_61a2f68c_lm_api/gpt-oss-20b_raw.jsonl</x:v>
      </x:c>
      <x:c r="AP13" s="31" t="str">
        <x:v>four errors; no automatic per-sample retries Backend decode aligned in saved own-instance log 13/13.</x:v>
      </x:c>
    </x:row>
    <x:row r="14" ht="46" customHeight="1">
      <x:c r="A14" s="21" t="str">
        <x:v>LM Studio API DEV</x:v>
      </x:c>
      <x:c r="B14" s="21" t="str">
        <x:v>gemma-4-26b-a4b-it</x:v>
      </x:c>
      <x:c r="C14" s="21" t="str">
        <x:v>20261001T195351Z_61a2f68c_lm_api</x:v>
      </x:c>
      <x:c r="D14" s="21" t="str">
        <x:v>old_dev</x:v>
      </x:c>
      <x:c r="E14" s="21" t="str">
        <x:v>measured</x:v>
      </x:c>
      <x:c r="F14" s="22" t="n">
        <x:v>36</x:v>
      </x:c>
      <x:c r="G14" s="22" t="n">
        <x:v>22</x:v>
      </x:c>
      <x:c r="H14" s="23" t="n">
        <x:f>IF(F14=0,"NOT RUN",G14/F14)</x:f>
        <x:v>0.6111111111111112</x:v>
      </x:c>
      <x:c r="I14" s="22" t="n">
        <x:v>0</x:v>
      </x:c>
      <x:c r="J14" s="22" t="n">
        <x:v>17016</x:v>
      </x:c>
      <x:c r="K14" s="22" t="n">
        <x:v>1307</x:v>
      </x:c>
      <x:c r="L14" s="22" t="n">
        <x:v>0</x:v>
      </x:c>
      <x:c r="M14" s="22" t="n">
        <x:v>36</x:v>
      </x:c>
      <x:c r="N14" s="22" t="n">
        <x:v>36</x:v>
      </x:c>
      <x:c r="O14" s="22" t="n">
        <x:v>36</x:v>
      </x:c>
      <x:c r="P14" s="24" t="n">
        <x:v>1.6378814222223608</x:v>
      </x:c>
      <x:c r="Q14" s="24" t="n">
        <x:v>1.53192024999953</x:v>
      </x:c>
      <x:c r="R14" s="24" t="n">
        <x:v>2.439536500000031</x:v>
      </x:c>
      <x:c r="S14" s="24" t="n">
        <x:v>0.6492609500000981</x:v>
      </x:c>
      <x:c r="T14" s="24" t="n">
        <x:v>0.6492609500000981</x:v>
      </x:c>
      <x:c r="U14" s="25" t="n">
        <x:v>42.983503551096206</x:v>
      </x:c>
      <x:c r="V14" s="24" t="str">
        <x:v>UNKNOWN</x:v>
      </x:c>
      <x:c r="W14" s="25" t="n">
        <x:v>33.53</x:v>
      </x:c>
      <x:c r="X14" s="22" t="n">
        <x:v>14042</x:v>
      </x:c>
      <x:c r="Y14" s="25" t="n">
        <x:f>IF(ISNUMBER(X14),X14/1024,X14)</x:f>
        <x:v>13.712890625</x:v>
      </x:c>
      <x:c r="Z14" s="25" t="n">
        <x:v>26.880290985107422</x:v>
      </x:c>
      <x:c r="AA14" s="25" t="n">
        <x:v>15.690822293050587</x:v>
      </x:c>
      <x:c r="AB14" s="73" t="str">
        <x:v>IQ4_NL_XL</x:v>
      </x:c>
      <x:c r="AC14" s="20" t="str">
        <x:v>0.70</x:v>
      </x:c>
      <x:c r="AD14" s="20" t="str">
        <x:v>UNKNOWN</x:v>
      </x:c>
      <x:c r="AE14" s="22" t="n">
        <x:v>4096</x:v>
      </x:c>
      <x:c r="AF14" s="22" t="n">
        <x:v>1</x:v>
      </x:c>
      <x:c r="AG14" s="19" t="n">
        <x:v>0</x:v>
      </x:c>
      <x:c r="AH14" s="22" t="n">
        <x:v>512</x:v>
      </x:c>
      <x:c r="AI14" s="22" t="n">
        <x:v>42</x:v>
      </x:c>
      <x:c r="AJ14" s="24" t="n">
        <x:v>21.339523499998904</x:v>
      </x:c>
      <x:c r="AK14" s="20" t="str">
        <x:v>off-or-low</x:v>
      </x:c>
      <x:c r="AL14" s="20" t="str">
        <x:v>20261001T195351Z_61a2f68c_lm_api/gemma-4-26b-a4b-it</x:v>
      </x:c>
      <x:c r="AM14" s="28"/>
      <x:c r="AN14" s="28" t="str">
        <x:v>results/20261001T195351Z_61a2f68c_lm_api/gemma-4-26b-a4b-it_raw.jsonl</x:v>
      </x:c>
      <x:c r="AP14" s="31" t="str">
        <x:v> Backend decode aligned in saved own-instance log 36/36.</x:v>
      </x:c>
    </x:row>
    <x:row r="15" ht="46" customHeight="1">
      <x:c r="A15" s="21" t="str">
        <x:v>LM Studio API DEV</x:v>
      </x:c>
      <x:c r="B15" s="21" t="str">
        <x:v>qwen3.5-9b</x:v>
      </x:c>
      <x:c r="C15" s="21" t="str">
        <x:v>20261001T195754Z_57e25698_lm_api</x:v>
      </x:c>
      <x:c r="D15" s="21" t="str">
        <x:v>old_dev</x:v>
      </x:c>
      <x:c r="E15" s="21" t="str">
        <x:v>measured</x:v>
      </x:c>
      <x:c r="F15" s="22" t="n">
        <x:v>12</x:v>
      </x:c>
      <x:c r="G15" s="22" t="n">
        <x:v>5</x:v>
      </x:c>
      <x:c r="H15" s="23" t="n">
        <x:f>IF(F15=0,"NOT RUN",G15/F15)</x:f>
        <x:v>0.4166666666666667</x:v>
      </x:c>
      <x:c r="I15" s="22" t="n">
        <x:v>0</x:v>
      </x:c>
      <x:c r="J15" s="22" t="n">
        <x:v>5588</x:v>
      </x:c>
      <x:c r="K15" s="22" t="n">
        <x:v>425</x:v>
      </x:c>
      <x:c r="L15" s="22" t="n">
        <x:v>0</x:v>
      </x:c>
      <x:c r="M15" s="22" t="n">
        <x:v>12</x:v>
      </x:c>
      <x:c r="N15" s="22" t="n">
        <x:v>12</x:v>
      </x:c>
      <x:c r="O15" s="22" t="n">
        <x:v>12</x:v>
      </x:c>
      <x:c r="P15" s="24" t="n">
        <x:v>0.9532043249999637</x:v>
      </x:c>
      <x:c r="Q15" s="24" t="n">
        <x:v>0.930146650000097</x:v>
      </x:c>
      <x:c r="R15" s="24" t="n">
        <x:v>1.364048360000015</x:v>
      </x:c>
      <x:c r="S15" s="24" t="n">
        <x:v>0.11970999999994092</x:v>
      </x:c>
      <x:c r="T15" s="24" t="n">
        <x:v>0.11970999999994092</x:v>
      </x:c>
      <x:c r="U15" s="25" t="n">
        <x:v>46.179640235763664</x:v>
      </x:c>
      <x:c r="V15" s="24" t="str">
        <x:v>UNKNOWN</x:v>
      </x:c>
      <x:c r="W15" s="25" t="n">
        <x:v>43.21</x:v>
      </x:c>
      <x:c r="X15" s="22" t="n">
        <x:v>11478</x:v>
      </x:c>
      <x:c r="Y15" s="25" t="n">
        <x:f>IF(ISNUMBER(X15),X15/1024,X15)</x:f>
        <x:v>11.208984375</x:v>
      </x:c>
      <x:c r="Z15" s="25" t="n">
        <x:v>20.287044525146484</x:v>
      </x:c>
      <x:c r="AA15" s="25" t="n">
        <x:v>10.571967869997025</x:v>
      </x:c>
      <x:c r="AB15" s="73" t="str">
        <x:v>Q8_0</x:v>
      </x:c>
      <x:c r="AC15" s="20" t="str">
        <x:v>max</x:v>
      </x:c>
      <x:c r="AD15" s="20" t="str">
        <x:v>UNKNOWN</x:v>
      </x:c>
      <x:c r="AE15" s="22" t="n">
        <x:v>4096</x:v>
      </x:c>
      <x:c r="AF15" s="22" t="n">
        <x:v>1</x:v>
      </x:c>
      <x:c r="AG15" s="19" t="n">
        <x:v>0</x:v>
      </x:c>
      <x:c r="AH15" s="22" t="n">
        <x:v>512</x:v>
      </x:c>
      <x:c r="AI15" s="22" t="n">
        <x:v>42</x:v>
      </x:c>
      <x:c r="AJ15" s="24" t="n">
        <x:v>30.1915312000001</x:v>
      </x:c>
      <x:c r="AK15" s="20" t="str">
        <x:v>off-or-low</x:v>
      </x:c>
      <x:c r="AL15" s="20" t="str">
        <x:v>20261001T195754Z_57e25698_lm_api/qwen3.5-9b</x:v>
      </x:c>
      <x:c r="AM15" s="28"/>
      <x:c r="AN15" s="28" t="str">
        <x:v>results/20261001T195754Z_57e25698_lm_api/qwen3.5-9b_raw.jsonl</x:v>
      </x:c>
      <x:c r="AP15" s="31" t="str">
        <x:v> Backend decode aligned in saved own-instance log 12/12.</x:v>
      </x:c>
    </x:row>
    <x:row r="16" ht="46" customHeight="1">
      <x:c r="A16" s="21" t="str">
        <x:v>LM Studio API DEV</x:v>
      </x:c>
      <x:c r="B16" s="21" t="str">
        <x:v>gemma-4-12b-it</x:v>
      </x:c>
      <x:c r="C16" s="21" t="str">
        <x:v>20261001T195754Z_57e25698_lm_api</x:v>
      </x:c>
      <x:c r="D16" s="21" t="str">
        <x:v>old_dev</x:v>
      </x:c>
      <x:c r="E16" s="21" t="str">
        <x:v>measured</x:v>
      </x:c>
      <x:c r="F16" s="22" t="n">
        <x:v>12</x:v>
      </x:c>
      <x:c r="G16" s="22" t="n">
        <x:v>8</x:v>
      </x:c>
      <x:c r="H16" s="23" t="n">
        <x:f>IF(F16=0,"NOT RUN",G16/F16)</x:f>
        <x:v>0.6666666666666666</x:v>
      </x:c>
      <x:c r="I16" s="22" t="n">
        <x:v>0</x:v>
      </x:c>
      <x:c r="J16" s="22" t="n">
        <x:v>5764</x:v>
      </x:c>
      <x:c r="K16" s="22" t="n">
        <x:v>481</x:v>
      </x:c>
      <x:c r="L16" s="22" t="n">
        <x:v>0</x:v>
      </x:c>
      <x:c r="M16" s="22" t="n">
        <x:v>12</x:v>
      </x:c>
      <x:c r="N16" s="22" t="n">
        <x:v>12</x:v>
      </x:c>
      <x:c r="O16" s="22" t="n">
        <x:v>12</x:v>
      </x:c>
      <x:c r="P16" s="24" t="n">
        <x:v>1.0757334166664805</x:v>
      </x:c>
      <x:c r="Q16" s="24" t="n">
        <x:v>0.9898497499989389</x:v>
      </x:c>
      <x:c r="R16" s="24" t="n">
        <x:v>1.525098935000005</x:v>
      </x:c>
      <x:c r="S16" s="24" t="n">
        <x:v>0.29901109999991604</x:v>
      </x:c>
      <x:c r="T16" s="24" t="n">
        <x:v>0.29901109999991604</x:v>
      </x:c>
      <x:c r="U16" s="25" t="n">
        <x:v>59.942019796854346</x:v>
      </x:c>
      <x:c r="V16" s="24" t="str">
        <x:v>UNKNOWN</x:v>
      </x:c>
      <x:c r="W16" s="25" t="n">
        <x:v>47.915000000000006</x:v>
      </x:c>
      <x:c r="X16" s="22" t="n">
        <x:v>8660</x:v>
      </x:c>
      <x:c r="Y16" s="25" t="n">
        <x:f>IF(ISNUMBER(X16),X16/1024,X16)</x:f>
        <x:v>8.45703125</x:v>
      </x:c>
      <x:c r="Z16" s="25" t="n">
        <x:v>17.52806854248047</x:v>
      </x:c>
      <x:c r="AA16" s="25" t="n">
        <x:v>6.495087593793869</x:v>
      </x:c>
      <x:c r="AB16" s="73" t="str">
        <x:v>Q4_K_S</x:v>
      </x:c>
      <x:c r="AC16" s="20" t="str">
        <x:v>max</x:v>
      </x:c>
      <x:c r="AD16" s="20" t="str">
        <x:v>UNKNOWN</x:v>
      </x:c>
      <x:c r="AE16" s="22" t="n">
        <x:v>4096</x:v>
      </x:c>
      <x:c r="AF16" s="22" t="n">
        <x:v>1</x:v>
      </x:c>
      <x:c r="AG16" s="19" t="n">
        <x:v>0</x:v>
      </x:c>
      <x:c r="AH16" s="22" t="n">
        <x:v>512</x:v>
      </x:c>
      <x:c r="AI16" s="22" t="n">
        <x:v>42</x:v>
      </x:c>
      <x:c r="AJ16" s="24" t="n">
        <x:v>8.272689600000376</x:v>
      </x:c>
      <x:c r="AK16" s="20" t="str">
        <x:v>off-or-low</x:v>
      </x:c>
      <x:c r="AL16" s="20" t="str">
        <x:v>20261001T195754Z_57e25698_lm_api/gemma-4-12b-it</x:v>
      </x:c>
      <x:c r="AM16" s="28"/>
      <x:c r="AN16" s="28" t="str">
        <x:v>results/20261001T195754Z_57e25698_lm_api/gemma-4-12b-it_raw.jsonl</x:v>
      </x:c>
      <x:c r="AP16" s="31" t="str">
        <x:v> Backend decode aligned in saved own-instance log 12/12.</x:v>
      </x:c>
    </x:row>
    <x:row r="17" ht="46" customHeight="1">
      <x:c r="A17" s="21" t="str">
        <x:v>LM Studio API DEV</x:v>
      </x:c>
      <x:c r="B17" s="21" t="str">
        <x:v>minicpm5-1b</x:v>
      </x:c>
      <x:c r="C17" s="21" t="str">
        <x:v>20261001T195754Z_57e25698_lm_api</x:v>
      </x:c>
      <x:c r="D17" s="21" t="str">
        <x:v>old_dev</x:v>
      </x:c>
      <x:c r="E17" s="21" t="str">
        <x:v>measured</x:v>
      </x:c>
      <x:c r="F17" s="22" t="n">
        <x:v>12</x:v>
      </x:c>
      <x:c r="G17" s="22" t="n">
        <x:v>1</x:v>
      </x:c>
      <x:c r="H17" s="23" t="n">
        <x:f>IF(F17=0,"NOT RUN",G17/F17)</x:f>
        <x:v>0.08333333333333333</x:v>
      </x:c>
      <x:c r="I17" s="22" t="n">
        <x:v>0</x:v>
      </x:c>
      <x:c r="J17" s="22" t="n">
        <x:v>5289</x:v>
      </x:c>
      <x:c r="K17" s="22" t="n">
        <x:v>711</x:v>
      </x:c>
      <x:c r="L17" s="22" t="n">
        <x:v>0</x:v>
      </x:c>
      <x:c r="M17" s="22" t="n">
        <x:v>12</x:v>
      </x:c>
      <x:c r="N17" s="22" t="n">
        <x:v>12</x:v>
      </x:c>
      <x:c r="O17" s="22" t="n">
        <x:v>12</x:v>
      </x:c>
      <x:c r="P17" s="24" t="n">
        <x:v>0.2757507666666849</x:v>
      </x:c>
      <x:c r="Q17" s="24" t="n">
        <x:v>0.24073404999944614</x:v>
      </x:c>
      <x:c r="R17" s="24" t="n">
        <x:v>0.537013339999612</x:v>
      </x:c>
      <x:c r="S17" s="24" t="n">
        <x:v>0.021818349999193742</x:v>
      </x:c>
      <x:c r="T17" s="24" t="n">
        <x:v>0.021818349999193742</x:v>
      </x:c>
      <x:c r="U17" s="25" t="n">
        <x:v>251.66067606503805</x:v>
      </x:c>
      <x:c r="V17" s="24" t="str">
        <x:v>UNKNOWN</x:v>
      </x:c>
      <x:c r="W17" s="25" t="n">
        <x:v>247.675</x:v>
      </x:c>
      <x:c r="X17" s="22" t="n">
        <x:v>2196</x:v>
      </x:c>
      <x:c r="Y17" s="25" t="n">
        <x:f>IF(ISNUMBER(X17),X17/1024,X17)</x:f>
        <x:v>2.14453125</x:v>
      </x:c>
      <x:c r="Z17" s="25" t="n">
        <x:v>11.796154022216797</x:v>
      </x:c>
      <x:c r="AA17" s="25" t="n">
        <x:v>1.0743077993392944</x:v>
      </x:c>
      <x:c r="AB17" s="73" t="str">
        <x:v>Q8_0</x:v>
      </x:c>
      <x:c r="AC17" s="20" t="str">
        <x:v>max</x:v>
      </x:c>
      <x:c r="AD17" s="20" t="str">
        <x:v>UNKNOWN</x:v>
      </x:c>
      <x:c r="AE17" s="22" t="n">
        <x:v>4096</x:v>
      </x:c>
      <x:c r="AF17" s="22" t="n">
        <x:v>1</x:v>
      </x:c>
      <x:c r="AG17" s="19" t="n">
        <x:v>0</x:v>
      </x:c>
      <x:c r="AH17" s="22" t="n">
        <x:v>512</x:v>
      </x:c>
      <x:c r="AI17" s="22" t="n">
        <x:v>42</x:v>
      </x:c>
      <x:c r="AJ17" s="24" t="n">
        <x:v>2.244291200000589</x:v>
      </x:c>
      <x:c r="AK17" s="20" t="str">
        <x:v>off-or-low</x:v>
      </x:c>
      <x:c r="AL17" s="20" t="str">
        <x:v>20261001T195754Z_57e25698_lm_api/minicpm5-1b</x:v>
      </x:c>
      <x:c r="AM17" s="28"/>
      <x:c r="AN17" s="28" t="str">
        <x:v>results/20261001T195754Z_57e25698_lm_api/minicpm5-1b_raw.jsonl</x:v>
      </x:c>
      <x:c r="AP17" s="31" t="str">
        <x:v> Backend decode aligned in saved own-instance log 12/12.</x:v>
      </x:c>
    </x:row>
    <x:row r="18" ht="46" customHeight="1">
      <x:c r="A18" s="21" t="str">
        <x:v>LM Studio API DEV</x:v>
      </x:c>
      <x:c r="B18" s="21" t="str">
        <x:v>webworld-8b-i1</x:v>
      </x:c>
      <x:c r="C18" s="21" t="str">
        <x:v>20261001T195754Z_57e25698_lm_api</x:v>
      </x:c>
      <x:c r="D18" s="21" t="str">
        <x:v>old_dev</x:v>
      </x:c>
      <x:c r="E18" s="21" t="str">
        <x:v>measured</x:v>
      </x:c>
      <x:c r="F18" s="22" t="n">
        <x:v>12</x:v>
      </x:c>
      <x:c r="G18" s="22" t="n">
        <x:v>6</x:v>
      </x:c>
      <x:c r="H18" s="23" t="n">
        <x:f>IF(F18=0,"NOT RUN",G18/F18)</x:f>
        <x:v>0.5</x:v>
      </x:c>
      <x:c r="I18" s="22" t="n">
        <x:v>0</x:v>
      </x:c>
      <x:c r="J18" s="22" t="n">
        <x:v>5493</x:v>
      </x:c>
      <x:c r="K18" s="22" t="n">
        <x:v>371</x:v>
      </x:c>
      <x:c r="L18" s="22" t="n">
        <x:v>0</x:v>
      </x:c>
      <x:c r="M18" s="22" t="n">
        <x:v>12</x:v>
      </x:c>
      <x:c r="N18" s="22" t="n">
        <x:v>12</x:v>
      </x:c>
      <x:c r="O18" s="22" t="n">
        <x:v>12</x:v>
      </x:c>
      <x:c r="P18" s="24" t="n">
        <x:v>0.5963463083332196</x:v>
      </x:c>
      <x:c r="Q18" s="24" t="n">
        <x:v>0.5479371499995978</x:v>
      </x:c>
      <x:c r="R18" s="24" t="n">
        <x:v>0.7984430899996369</x:v>
      </x:c>
      <x:c r="S18" s="24" t="n">
        <x:v>0.0707093500004703</x:v>
      </x:c>
      <x:c r="T18" s="24" t="n">
        <x:v>0.0707093500004703</x:v>
      </x:c>
      <x:c r="U18" s="25" t="n">
        <x:v>63.289384787453606</x:v>
      </x:c>
      <x:c r="V18" s="24" t="str">
        <x:v>UNKNOWN</x:v>
      </x:c>
      <x:c r="W18" s="25" t="n">
        <x:v>58.620000000000005</x:v>
      </x:c>
      <x:c r="X18" s="22" t="n">
        <x:v>7770</x:v>
      </x:c>
      <x:c r="Y18" s="25" t="n">
        <x:f>IF(ISNUMBER(X18),X18/1024,X18)</x:f>
        <x:v>7.587890625</x:v>
      </x:c>
      <x:c r="Z18" s="25" t="n">
        <x:v>16.880290985107422</x:v>
      </x:c>
      <x:c r="AA18" s="25" t="n">
        <x:v>6.263983190059662</x:v>
      </x:c>
      <x:c r="AB18" s="73" t="str">
        <x:v>Q6_K</x:v>
      </x:c>
      <x:c r="AC18" s="20" t="str">
        <x:v>max</x:v>
      </x:c>
      <x:c r="AD18" s="20" t="str">
        <x:v>UNKNOWN</x:v>
      </x:c>
      <x:c r="AE18" s="22" t="n">
        <x:v>4096</x:v>
      </x:c>
      <x:c r="AF18" s="22" t="n">
        <x:v>1</x:v>
      </x:c>
      <x:c r="AG18" s="19" t="n">
        <x:v>0</x:v>
      </x:c>
      <x:c r="AH18" s="22" t="n">
        <x:v>512</x:v>
      </x:c>
      <x:c r="AI18" s="22" t="n">
        <x:v>42</x:v>
      </x:c>
      <x:c r="AJ18" s="24" t="n">
        <x:v>6.634262300000046</x:v>
      </x:c>
      <x:c r="AK18" s="20" t="str">
        <x:v>off-or-low</x:v>
      </x:c>
      <x:c r="AL18" s="20" t="str">
        <x:v>20261001T195754Z_57e25698_lm_api/webworld-8b-i1</x:v>
      </x:c>
      <x:c r="AM18" s="28"/>
      <x:c r="AN18" s="28" t="str">
        <x:v>results/20261001T195754Z_57e25698_lm_api/webworld-8b-i1_raw.jsonl</x:v>
      </x:c>
      <x:c r="AP18" s="31" t="str">
        <x:v> Backend decode aligned in saved own-instance log 12/12.</x:v>
      </x:c>
    </x:row>
    <x:row r="19" ht="46" customHeight="1">
      <x:c r="A19" s="21" t="str">
        <x:v>LM Studio API DEV</x:v>
      </x:c>
      <x:c r="B19" s="21" t="str">
        <x:v>granite-4.1-8b</x:v>
      </x:c>
      <x:c r="C19" s="21" t="str">
        <x:v>20261001T195754Z_57e25698_lm_api</x:v>
      </x:c>
      <x:c r="D19" s="21" t="str">
        <x:v>old_dev</x:v>
      </x:c>
      <x:c r="E19" s="21" t="str">
        <x:v>measured</x:v>
      </x:c>
      <x:c r="F19" s="22" t="n">
        <x:v>12</x:v>
      </x:c>
      <x:c r="G19" s="22" t="n">
        <x:v>6</x:v>
      </x:c>
      <x:c r="H19" s="23" t="n">
        <x:f>IF(F19=0,"NOT RUN",G19/F19)</x:f>
        <x:v>0.5</x:v>
      </x:c>
      <x:c r="I19" s="22" t="n">
        <x:v>0</x:v>
      </x:c>
      <x:c r="J19" s="22" t="n">
        <x:v>5254</x:v>
      </x:c>
      <x:c r="K19" s="22" t="n">
        <x:v>555</x:v>
      </x:c>
      <x:c r="L19" s="22" t="n">
        <x:v>0</x:v>
      </x:c>
      <x:c r="M19" s="22" t="n">
        <x:v>12</x:v>
      </x:c>
      <x:c r="N19" s="22" t="n">
        <x:v>12</x:v>
      </x:c>
      <x:c r="O19" s="22" t="n">
        <x:v>12</x:v>
      </x:c>
      <x:c r="P19" s="24" t="n">
        <x:v>0.8866949666668612</x:v>
      </x:c>
      <x:c r="Q19" s="24" t="n">
        <x:v>0.7998342499995488</x:v>
      </x:c>
      <x:c r="R19" s="24" t="n">
        <x:v>1.465105129999756</x:v>
      </x:c>
      <x:c r="S19" s="24" t="n">
        <x:v>0.08985475000008591</x:v>
      </x:c>
      <x:c r="T19" s="24" t="n">
        <x:v>0.08985475000008591</x:v>
      </x:c>
      <x:c r="U19" s="25" t="n">
        <x:v>74.81658005347025</x:v>
      </x:c>
      <x:c r="V19" s="24" t="str">
        <x:v>UNKNOWN</x:v>
      </x:c>
      <x:c r="W19" s="25" t="n">
        <x:v>60.28</x:v>
      </x:c>
      <x:c r="X19" s="22" t="n">
        <x:v>6796</x:v>
      </x:c>
      <x:c r="Y19" s="25" t="n">
        <x:f>IF(ISNUMBER(X19),X19/1024,X19)</x:f>
        <x:v>6.63671875</x:v>
      </x:c>
      <x:c r="Z19" s="25" t="n">
        <x:v>16.438034057617188</x:v>
      </x:c>
      <x:c r="AA19" s="25" t="n">
        <x:v>4.980634093284607</x:v>
      </x:c>
      <x:c r="AB19" s="73" t="str">
        <x:v>Q4_K_M</x:v>
      </x:c>
      <x:c r="AC19" s="20" t="str">
        <x:v>max</x:v>
      </x:c>
      <x:c r="AD19" s="20" t="str">
        <x:v>UNKNOWN</x:v>
      </x:c>
      <x:c r="AE19" s="22" t="n">
        <x:v>4096</x:v>
      </x:c>
      <x:c r="AF19" s="22" t="n">
        <x:v>1</x:v>
      </x:c>
      <x:c r="AG19" s="19" t="n">
        <x:v>0</x:v>
      </x:c>
      <x:c r="AH19" s="22" t="n">
        <x:v>512</x:v>
      </x:c>
      <x:c r="AI19" s="22" t="n">
        <x:v>42</x:v>
      </x:c>
      <x:c r="AJ19" s="24" t="n">
        <x:v>5.530558499998733</x:v>
      </x:c>
      <x:c r="AK19" s="20" t="str">
        <x:v>off-or-low</x:v>
      </x:c>
      <x:c r="AL19" s="20" t="str">
        <x:v>20261001T195754Z_57e25698_lm_api/granite-4.1-8b</x:v>
      </x:c>
      <x:c r="AM19" s="28"/>
      <x:c r="AN19" s="28" t="str">
        <x:v>results/20261001T195754Z_57e25698_lm_api/granite-4.1-8b_raw.jsonl</x:v>
      </x:c>
      <x:c r="AP19" s="31" t="str">
        <x:v> Backend decode aligned in saved own-instance log 12/12.</x:v>
      </x:c>
    </x:row>
    <x:row r="20" ht="46" customHeight="1">
      <x:c r="A20" s="21" t="str">
        <x:v>LM Studio API DEV</x:v>
      </x:c>
      <x:c r="B20" s="21" t="str">
        <x:v>dr-venus-4b-rl</x:v>
      </x:c>
      <x:c r="C20" s="21" t="str">
        <x:v>20261001T195754Z_57e25698_lm_api</x:v>
      </x:c>
      <x:c r="D20" s="21" t="str">
        <x:v>old_dev</x:v>
      </x:c>
      <x:c r="E20" s="21" t="str">
        <x:v>EARLY_STOP</x:v>
      </x:c>
      <x:c r="F20" s="22" t="n">
        <x:v>6</x:v>
      </x:c>
      <x:c r="G20" s="22" t="n">
        <x:v>1</x:v>
      </x:c>
      <x:c r="H20" s="23" t="n">
        <x:f>IF(F20=0,"NOT RUN",G20/F20)</x:f>
        <x:v>0.16666666666666666</x:v>
      </x:c>
      <x:c r="I20" s="22" t="n">
        <x:v>4</x:v>
      </x:c>
      <x:c r="J20" s="22" t="n">
        <x:v>2782</x:v>
      </x:c>
      <x:c r="K20" s="22" t="n">
        <x:v>2523</x:v>
      </x:c>
      <x:c r="L20" s="22" t="n">
        <x:v>2450</x:v>
      </x:c>
      <x:c r="M20" s="22" t="n">
        <x:v>6</x:v>
      </x:c>
      <x:c r="N20" s="22" t="n">
        <x:v>6</x:v>
      </x:c>
      <x:c r="O20" s="22" t="n">
        <x:v>6</x:v>
      </x:c>
      <x:c r="P20" s="24" t="n">
        <x:v>4.054066383332611</x:v>
      </x:c>
      <x:c r="Q20" s="24" t="n">
        <x:v>4.858588449998933</x:v>
      </x:c>
      <x:c r="R20" s="24" t="n">
        <x:v>4.956783600000108</x:v>
      </x:c>
      <x:c r="S20" s="24" t="n">
        <x:v>0.07481369999914023</x:v>
      </x:c>
      <x:c r="T20" s="24" t="n">
        <x:v>2.007938399999148</x:v>
      </x:c>
      <x:c r="U20" s="25" t="n">
        <x:v>105.69395335094225</x:v>
      </x:c>
      <x:c r="V20" s="24" t="str">
        <x:v>UNKNOWN</x:v>
      </x:c>
      <x:c r="W20" s="25" t="n">
        <x:v>105.525</x:v>
      </x:c>
      <x:c r="X20" s="22" t="n">
        <x:v>4200</x:v>
      </x:c>
      <x:c r="Y20" s="25" t="n">
        <x:f>IF(ISNUMBER(X20),X20/1024,X20)</x:f>
        <x:v>4.1015625</x:v>
      </x:c>
      <x:c r="Z20" s="25" t="n">
        <x:v>14.195262908935547</x:v>
      </x:c>
      <x:c r="AA20" s="25" t="n">
        <x:v>2.5295353829860687</x:v>
      </x:c>
      <x:c r="AB20" s="73" t="str">
        <x:v>Q4_K_M</x:v>
      </x:c>
      <x:c r="AC20" s="20" t="str">
        <x:v>max</x:v>
      </x:c>
      <x:c r="AD20" s="20" t="str">
        <x:v>UNKNOWN</x:v>
      </x:c>
      <x:c r="AE20" s="22" t="n">
        <x:v>4096</x:v>
      </x:c>
      <x:c r="AF20" s="22" t="n">
        <x:v>1</x:v>
      </x:c>
      <x:c r="AG20" s="19" t="n">
        <x:v>0</x:v>
      </x:c>
      <x:c r="AH20" s="22" t="n">
        <x:v>512</x:v>
      </x:c>
      <x:c r="AI20" s="22" t="n">
        <x:v>42</x:v>
      </x:c>
      <x:c r="AJ20" s="24" t="n">
        <x:v>3.864323499999955</x:v>
      </x:c>
      <x:c r="AK20" s="20" t="str">
        <x:v>off-or-low</x:v>
      </x:c>
      <x:c r="AL20" s="20" t="str">
        <x:v>20261001T195754Z_57e25698_lm_api/dr-venus-4b-rl</x:v>
      </x:c>
      <x:c r="AM20" s="28"/>
      <x:c r="AN20" s="28" t="str">
        <x:v>results/20261001T195754Z_57e25698_lm_api/dr-venus-4b-rl_raw.jsonl</x:v>
      </x:c>
      <x:c r="AP20" s="31" t="str">
        <x:v>four errors; no automatic per-sample retries Backend decode aligned in saved own-instance log 6/6.</x:v>
      </x:c>
    </x:row>
    <x:row r="21" ht="46" customHeight="1">
      <x:c r="A21" s="21" t="str">
        <x:v>LM Studio API DEV</x:v>
      </x:c>
      <x:c r="B21" s="21" t="str">
        <x:v>qwen3-vl-8b-instruct</x:v>
      </x:c>
      <x:c r="C21" s="21" t="str">
        <x:v>20261001T195754Z_57e25698_lm_api</x:v>
      </x:c>
      <x:c r="D21" s="21" t="str">
        <x:v>old_dev</x:v>
      </x:c>
      <x:c r="E21" s="21" t="str">
        <x:v>measured</x:v>
      </x:c>
      <x:c r="F21" s="22" t="n">
        <x:v>12</x:v>
      </x:c>
      <x:c r="G21" s="22" t="n">
        <x:v>5</x:v>
      </x:c>
      <x:c r="H21" s="23" t="n">
        <x:f>IF(F21=0,"NOT RUN",G21/F21)</x:f>
        <x:v>0.4166666666666667</x:v>
      </x:c>
      <x:c r="I21" s="22" t="n">
        <x:v>0</x:v>
      </x:c>
      <x:c r="J21" s="22" t="n">
        <x:v>5445</x:v>
      </x:c>
      <x:c r="K21" s="22" t="n">
        <x:v>313</x:v>
      </x:c>
      <x:c r="L21" s="22" t="n">
        <x:v>0</x:v>
      </x:c>
      <x:c r="M21" s="22" t="n">
        <x:v>12</x:v>
      </x:c>
      <x:c r="N21" s="22" t="n">
        <x:v>12</x:v>
      </x:c>
      <x:c r="O21" s="22" t="n">
        <x:v>12</x:v>
      </x:c>
      <x:c r="P21" s="24" t="n">
        <x:v>0.6099434583334187</x:v>
      </x:c>
      <x:c r="Q21" s="24" t="n">
        <x:v>0.5851641999988715</x:v>
      </x:c>
      <x:c r="R21" s="24" t="n">
        <x:v>0.7057883200006472</x:v>
      </x:c>
      <x:c r="S21" s="24" t="n">
        <x:v>0.05501529999946797</x:v>
      </x:c>
      <x:c r="T21" s="24" t="n">
        <x:v>0.05501529999946797</x:v>
      </x:c>
      <x:c r="U21" s="25" t="n">
        <x:v>50.43856726669222</x:v>
      </x:c>
      <x:c r="V21" s="24" t="str">
        <x:v>UNKNOWN</x:v>
      </x:c>
      <x:c r="W21" s="25" t="n">
        <x:v>46.695</x:v>
      </x:c>
      <x:c r="X21" s="22" t="n">
        <x:v>11024</x:v>
      </x:c>
      <x:c r="Y21" s="25" t="n">
        <x:f>IF(ISNUMBER(X21),X21/1024,X21)</x:f>
        <x:v>10.765625</x:v>
      </x:c>
      <x:c r="Z21" s="25" t="n">
        <x:v>19.502304077148438</x:v>
      </x:c>
      <x:c r="AA21" s="25" t="n">
        <x:v>9.190802723169327</x:v>
      </x:c>
      <x:c r="AB21" s="73" t="str">
        <x:v>Q8_0</x:v>
      </x:c>
      <x:c r="AC21" s="20" t="str">
        <x:v>max</x:v>
      </x:c>
      <x:c r="AD21" s="20" t="str">
        <x:v>UNKNOWN</x:v>
      </x:c>
      <x:c r="AE21" s="22" t="n">
        <x:v>4096</x:v>
      </x:c>
      <x:c r="AF21" s="22" t="n">
        <x:v>1</x:v>
      </x:c>
      <x:c r="AG21" s="19" t="n">
        <x:v>0</x:v>
      </x:c>
      <x:c r="AH21" s="22" t="n">
        <x:v>512</x:v>
      </x:c>
      <x:c r="AI21" s="22" t="n">
        <x:v>42</x:v>
      </x:c>
      <x:c r="AJ21" s="24" t="n">
        <x:v>15.888590999998996</x:v>
      </x:c>
      <x:c r="AK21" s="20" t="str">
        <x:v>off-or-low</x:v>
      </x:c>
      <x:c r="AL21" s="20" t="str">
        <x:v>20261001T195754Z_57e25698_lm_api/qwen3-vl-8b-instruct</x:v>
      </x:c>
      <x:c r="AM21" s="28"/>
      <x:c r="AN21" s="28" t="str">
        <x:v>results/20261001T195754Z_57e25698_lm_api/qwen3-vl-8b-instruct_raw.jsonl</x:v>
      </x:c>
      <x:c r="AP21" s="31" t="str">
        <x:v> Backend decode aligned in saved own-instance log 12/12.</x:v>
      </x:c>
    </x:row>
    <x:row r="22" ht="46" customHeight="1">
      <x:c r="A22" s="21" t="str">
        <x:v>LM Studio API DEV</x:v>
      </x:c>
      <x:c r="B22" s="21" t="str">
        <x:v>qwen3-8b-deepseek-v3.2-speciale-distill</x:v>
      </x:c>
      <x:c r="C22" s="21" t="str">
        <x:v>20261001T195754Z_57e25698_lm_api</x:v>
      </x:c>
      <x:c r="D22" s="21" t="str">
        <x:v>old_dev</x:v>
      </x:c>
      <x:c r="E22" s="21" t="str">
        <x:v>measured</x:v>
      </x:c>
      <x:c r="F22" s="22" t="n">
        <x:v>12</x:v>
      </x:c>
      <x:c r="G22" s="22" t="n">
        <x:v>8</x:v>
      </x:c>
      <x:c r="H22" s="23" t="n">
        <x:f>IF(F22=0,"NOT RUN",G22/F22)</x:f>
        <x:v>0.6666666666666666</x:v>
      </x:c>
      <x:c r="I22" s="22" t="n">
        <x:v>0</x:v>
      </x:c>
      <x:c r="J22" s="22" t="n">
        <x:v>5493</x:v>
      </x:c>
      <x:c r="K22" s="22" t="n">
        <x:v>281</x:v>
      </x:c>
      <x:c r="L22" s="22" t="n">
        <x:v>0</x:v>
      </x:c>
      <x:c r="M22" s="22" t="n">
        <x:v>12</x:v>
      </x:c>
      <x:c r="N22" s="22" t="n">
        <x:v>12</x:v>
      </x:c>
      <x:c r="O22" s="22" t="n">
        <x:v>12</x:v>
      </x:c>
      <x:c r="P22" s="24" t="n">
        <x:v>0.42716387499982983</x:v>
      </x:c>
      <x:c r="Q22" s="24" t="n">
        <x:v>0.4186236999994435</x:v>
      </x:c>
      <x:c r="R22" s="24" t="n">
        <x:v>0.5228648400001474</x:v>
      </x:c>
      <x:c r="S22" s="24" t="n">
        <x:v>0.056604750000587956</x:v>
      </x:c>
      <x:c r="T22" s="24" t="n">
        <x:v>0.056604750000587956</x:v>
      </x:c>
      <x:c r="U22" s="25" t="n">
        <x:v>68.76597058738764</x:v>
      </x:c>
      <x:c r="V22" s="24" t="str">
        <x:v>UNKNOWN</x:v>
      </x:c>
      <x:c r="W22" s="25" t="n">
        <x:v>63.27</x:v>
      </x:c>
      <x:c r="X22" s="22" t="n">
        <x:v>6304</x:v>
      </x:c>
      <x:c r="Y22" s="25" t="n">
        <x:f>IF(ISNUMBER(X22),X22/1024,X22)</x:f>
        <x:v>6.15625</x:v>
      </x:c>
      <x:c r="Z22" s="25" t="n">
        <x:v>15.471961975097656</x:v>
      </x:c>
      <x:c r="AA22" s="25" t="n">
        <x:v>4.682491015642881</x:v>
      </x:c>
      <x:c r="AB22" s="73" t="str">
        <x:v>Q4_K_M</x:v>
      </x:c>
      <x:c r="AC22" s="20" t="str">
        <x:v>max</x:v>
      </x:c>
      <x:c r="AD22" s="20" t="str">
        <x:v>UNKNOWN</x:v>
      </x:c>
      <x:c r="AE22" s="22" t="n">
        <x:v>4096</x:v>
      </x:c>
      <x:c r="AF22" s="22" t="n">
        <x:v>1</x:v>
      </x:c>
      <x:c r="AG22" s="19" t="n">
        <x:v>0</x:v>
      </x:c>
      <x:c r="AH22" s="22" t="n">
        <x:v>512</x:v>
      </x:c>
      <x:c r="AI22" s="22" t="n">
        <x:v>42</x:v>
      </x:c>
      <x:c r="AJ22" s="24" t="n">
        <x:v>12.946205600001122</x:v>
      </x:c>
      <x:c r="AK22" s="20" t="str">
        <x:v>off-or-low</x:v>
      </x:c>
      <x:c r="AL22" s="20" t="str">
        <x:v>20261001T195754Z_57e25698_lm_api/qwen3-8b-deepseek-v3.2-speciale-distill</x:v>
      </x:c>
      <x:c r="AM22" s="28"/>
      <x:c r="AN22" s="28" t="str">
        <x:v>results/20261001T195754Z_57e25698_lm_api/qwen3-8b-deepseek-v3.2-speciale-distill_raw.jsonl</x:v>
      </x:c>
      <x:c r="AP22" s="31" t="str">
        <x:v> Backend decode aligned in saved own-instance log 12/12.</x:v>
      </x:c>
    </x:row>
    <x:row r="23" ht="46" customHeight="1">
      <x:c r="A23" s="21" t="str">
        <x:v>LM Studio API DEV</x:v>
      </x:c>
      <x:c r="B23" s="21" t="str">
        <x:v>qwen3-omni-30b-a3b-instruct</x:v>
      </x:c>
      <x:c r="C23" s="21" t="str">
        <x:v>20261001T195754Z_57e25698_lm_api</x:v>
      </x:c>
      <x:c r="D23" s="21" t="str">
        <x:v>old_dev</x:v>
      </x:c>
      <x:c r="E23" s="21" t="str">
        <x:v>measured</x:v>
      </x:c>
      <x:c r="F23" s="22" t="n">
        <x:v>12</x:v>
      </x:c>
      <x:c r="G23" s="22" t="n">
        <x:v>6</x:v>
      </x:c>
      <x:c r="H23" s="23" t="n">
        <x:f>IF(F23=0,"NOT RUN",G23/F23)</x:f>
        <x:v>0.5</x:v>
      </x:c>
      <x:c r="I23" s="22" t="n">
        <x:v>0</x:v>
      </x:c>
      <x:c r="J23" s="22" t="n">
        <x:v>5493</x:v>
      </x:c>
      <x:c r="K23" s="22" t="n">
        <x:v>407</x:v>
      </x:c>
      <x:c r="L23" s="22" t="n">
        <x:v>0</x:v>
      </x:c>
      <x:c r="M23" s="22" t="n">
        <x:v>12</x:v>
      </x:c>
      <x:c r="N23" s="22" t="n">
        <x:v>12</x:v>
      </x:c>
      <x:c r="O23" s="22" t="n">
        <x:v>12</x:v>
      </x:c>
      <x:c r="P23" s="24" t="n">
        <x:v>1.4464738666664136</x:v>
      </x:c>
      <x:c r="Q23" s="24" t="n">
        <x:v>1.3367081999995207</x:v>
      </x:c>
      <x:c r="R23" s="24" t="n">
        <x:v>2.172807249999823</x:v>
      </x:c>
      <x:c r="S23" s="24" t="n">
        <x:v>0.5544238000011319</x:v>
      </x:c>
      <x:c r="T23" s="24" t="n">
        <x:v>0.5544238000011319</x:v>
      </x:c>
      <x:c r="U23" s="25" t="n">
        <x:v>42.52690472105347</x:v>
      </x:c>
      <x:c r="V23" s="24" t="str">
        <x:v>UNKNOWN</x:v>
      </x:c>
      <x:c r="W23" s="25" t="n">
        <x:v>38.39</x:v>
      </x:c>
      <x:c r="X23" s="22" t="n">
        <x:v>14908</x:v>
      </x:c>
      <x:c r="Y23" s="25" t="n">
        <x:f>IF(ISNUMBER(X23),X23/1024,X23)</x:f>
        <x:v>14.55859375</x:v>
      </x:c>
      <x:c r="Z23" s="25" t="n">
        <x:v>29.03158187866211</x:v>
      </x:c>
      <x:c r="AA23" s="25" t="n">
        <x:v>19.33846578001976</x:v>
      </x:c>
      <x:c r="AB23" s="73" t="str">
        <x:v>Q4_K_M</x:v>
      </x:c>
      <x:c r="AC23" s="20" t="str">
        <x:v>0.60</x:v>
      </x:c>
      <x:c r="AD23" s="20" t="str">
        <x:v>UNKNOWN</x:v>
      </x:c>
      <x:c r="AE23" s="22" t="n">
        <x:v>4096</x:v>
      </x:c>
      <x:c r="AF23" s="22" t="n">
        <x:v>1</x:v>
      </x:c>
      <x:c r="AG23" s="19" t="n">
        <x:v>0</x:v>
      </x:c>
      <x:c r="AH23" s="22" t="n">
        <x:v>512</x:v>
      </x:c>
      <x:c r="AI23" s="22" t="n">
        <x:v>42</x:v>
      </x:c>
      <x:c r="AJ23" s="24" t="n">
        <x:v>33.5441021000006</x:v>
      </x:c>
      <x:c r="AK23" s="20" t="str">
        <x:v>off-or-low</x:v>
      </x:c>
      <x:c r="AL23" s="20" t="str">
        <x:v>20261001T195754Z_57e25698_lm_api/qwen3-omni-30b-a3b-instruct</x:v>
      </x:c>
      <x:c r="AM23" s="28"/>
      <x:c r="AN23" s="28" t="str">
        <x:v>results/20261001T195754Z_57e25698_lm_api/qwen3-omni-30b-a3b-instruct_raw.jsonl</x:v>
      </x:c>
      <x:c r="AP23" s="31" t="str">
        <x:v> Backend decode aligned in saved own-instance log 12/12.</x:v>
      </x:c>
    </x:row>
    <x:row r="24" ht="46" customHeight="1">
      <x:c r="A24" s="21" t="str">
        <x:v>LM Studio API DEV</x:v>
      </x:c>
      <x:c r="B24" s="21" t="str">
        <x:v>qwen3.6-35b-a3b-uncensored-hauhaucs-aggressive</x:v>
      </x:c>
      <x:c r="C24" s="21" t="str">
        <x:v>20261001T195754Z_57e25698_lm_api</x:v>
      </x:c>
      <x:c r="D24" s="21" t="str">
        <x:v>old_dev</x:v>
      </x:c>
      <x:c r="E24" s="21" t="str">
        <x:v>NOT_RUN_PRIOR_RESOURCE_GUARD</x:v>
      </x:c>
      <x:c r="F24" s="22" t="n">
        <x:v>0</x:v>
      </x:c>
      <x:c r="G24" s="22" t="str">
        <x:v>UNKNOWN</x:v>
      </x:c>
      <x:c r="H24" s="23" t="str">
        <x:f>IF(F24=0,"NOT RUN",G24/F24)</x:f>
        <x:v>NOT RUN</x:v>
      </x:c>
      <x:c r="I24" s="22" t="str">
        <x:v>UNKNOWN</x:v>
      </x:c>
      <x:c r="J24" s="22" t="str">
        <x:v>UNKNOWN</x:v>
      </x:c>
      <x:c r="K24" s="22" t="str">
        <x:v>UNKNOWN</x:v>
      </x:c>
      <x:c r="L24" s="22" t="str">
        <x:v>UNKNOWN</x:v>
      </x:c>
      <x:c r="M24" s="22" t="n">
        <x:v>0</x:v>
      </x:c>
      <x:c r="N24" s="22" t="n">
        <x:v>0</x:v>
      </x:c>
      <x:c r="O24" s="22" t="n">
        <x:v>0</x:v>
      </x:c>
      <x:c r="P24" s="24" t="str">
        <x:v>UNKNOWN</x:v>
      </x:c>
      <x:c r="Q24" s="24" t="str">
        <x:v>UNKNOWN</x:v>
      </x:c>
      <x:c r="R24" s="24" t="str">
        <x:v>UNKNOWN</x:v>
      </x:c>
      <x:c r="S24" s="24" t="str">
        <x:v>UNKNOWN</x:v>
      </x:c>
      <x:c r="T24" s="24" t="str">
        <x:v>UNKNOWN</x:v>
      </x:c>
      <x:c r="U24" s="25" t="str">
        <x:v>UNKNOWN</x:v>
      </x:c>
      <x:c r="V24" s="24" t="str">
        <x:v>UNKNOWN</x:v>
      </x:c>
      <x:c r="W24" s="25" t="str">
        <x:v>UNKNOWN</x:v>
      </x:c>
      <x:c r="X24" s="22" t="str">
        <x:v>UNKNOWN</x:v>
      </x:c>
      <x:c r="Y24" s="25" t="str">
        <x:f>IF(ISNUMBER(X24),X24/1024,X24)</x:f>
        <x:v>UNKNOWN</x:v>
      </x:c>
      <x:c r="Z24" s="25" t="str">
        <x:v>UNKNOWN</x:v>
      </x:c>
      <x:c r="AA24" s="25" t="n">
        <x:v>20.550602197647095</x:v>
      </x:c>
      <x:c r="AB24" s="73" t="str">
        <x:v>Q4_K_M</x:v>
      </x:c>
      <x:c r="AC24" s="20" t="str">
        <x:v>0.55</x:v>
      </x:c>
      <x:c r="AD24" s="20" t="str">
        <x:v>UNKNOWN</x:v>
      </x:c>
      <x:c r="AE24" s="22" t="str">
        <x:v>UNKNOWN</x:v>
      </x:c>
      <x:c r="AF24" s="22" t="str">
        <x:v>UNKNOWN</x:v>
      </x:c>
      <x:c r="AG24" s="19" t="n">
        <x:v>0</x:v>
      </x:c>
      <x:c r="AH24" s="22" t="n">
        <x:v>512</x:v>
      </x:c>
      <x:c r="AI24" s="22" t="n">
        <x:v>42</x:v>
      </x:c>
      <x:c r="AJ24" s="24" t="str">
        <x:v>UNKNOWN</x:v>
      </x:c>
      <x:c r="AK24" s="20" t="str">
        <x:v>off-or-low</x:v>
      </x:c>
      <x:c r="AL24" s="20" t="str">
        <x:v>20261001T195754Z_57e25698_lm_api/qwen3.6-35b-a3b-uncensored-hauhaucs-aggressive</x:v>
      </x:c>
      <x:c r="AM24" s="28"/>
      <x:c r="AN24" s="28" t="str">
        <x:v>results/20261001T195754Z_57e25698_lm_api/manifest.json</x:v>
      </x:c>
      <x:c r="AP24" s="31" t="str"/>
    </x:row>
    <x:row r="25" ht="46" customHeight="1">
      <x:c r="A25" s="21" t="str">
        <x:v>LM Studio API DEV</x:v>
      </x:c>
      <x:c r="B25" s="21" t="str">
        <x:v>qwen3-coder-next</x:v>
      </x:c>
      <x:c r="C25" s="21" t="str">
        <x:v>20261001T195754Z_57e25698_lm_api</x:v>
      </x:c>
      <x:c r="D25" s="21" t="str">
        <x:v>old_dev</x:v>
      </x:c>
      <x:c r="E25" s="21" t="str">
        <x:v>NOT_RUN_PRIOR_RESOURCE_GUARD</x:v>
      </x:c>
      <x:c r="F25" s="22" t="n">
        <x:v>0</x:v>
      </x:c>
      <x:c r="G25" s="22" t="str">
        <x:v>UNKNOWN</x:v>
      </x:c>
      <x:c r="H25" s="23" t="str">
        <x:f>IF(F25=0,"NOT RUN",G25/F25)</x:f>
        <x:v>NOT RUN</x:v>
      </x:c>
      <x:c r="I25" s="22" t="str">
        <x:v>UNKNOWN</x:v>
      </x:c>
      <x:c r="J25" s="22" t="str">
        <x:v>UNKNOWN</x:v>
      </x:c>
      <x:c r="K25" s="22" t="str">
        <x:v>UNKNOWN</x:v>
      </x:c>
      <x:c r="L25" s="22" t="str">
        <x:v>UNKNOWN</x:v>
      </x:c>
      <x:c r="M25" s="22" t="n">
        <x:v>0</x:v>
      </x:c>
      <x:c r="N25" s="22" t="n">
        <x:v>0</x:v>
      </x:c>
      <x:c r="O25" s="22" t="n">
        <x:v>0</x:v>
      </x:c>
      <x:c r="P25" s="24" t="str">
        <x:v>UNKNOWN</x:v>
      </x:c>
      <x:c r="Q25" s="24" t="str">
        <x:v>UNKNOWN</x:v>
      </x:c>
      <x:c r="R25" s="24" t="str">
        <x:v>UNKNOWN</x:v>
      </x:c>
      <x:c r="S25" s="24" t="str">
        <x:v>UNKNOWN</x:v>
      </x:c>
      <x:c r="T25" s="24" t="str">
        <x:v>UNKNOWN</x:v>
      </x:c>
      <x:c r="U25" s="25" t="str">
        <x:v>UNKNOWN</x:v>
      </x:c>
      <x:c r="V25" s="24" t="str">
        <x:v>UNKNOWN</x:v>
      </x:c>
      <x:c r="W25" s="25" t="str">
        <x:v>UNKNOWN</x:v>
      </x:c>
      <x:c r="X25" s="22" t="str">
        <x:v>UNKNOWN</x:v>
      </x:c>
      <x:c r="Y25" s="25" t="str">
        <x:f>IF(ISNUMBER(X25),X25/1024,X25)</x:f>
        <x:v>UNKNOWN</x:v>
      </x:c>
      <x:c r="Z25" s="25" t="str">
        <x:v>UNKNOWN</x:v>
      </x:c>
      <x:c r="AA25" s="25" t="n">
        <x:v>31.031917572021484</x:v>
      </x:c>
      <x:c r="AB25" s="73" t="str">
        <x:v>Q3_K_S</x:v>
      </x:c>
      <x:c r="AC25" s="20" t="str">
        <x:v>0.35</x:v>
      </x:c>
      <x:c r="AD25" s="20" t="str">
        <x:v>UNKNOWN</x:v>
      </x:c>
      <x:c r="AE25" s="22" t="str">
        <x:v>UNKNOWN</x:v>
      </x:c>
      <x:c r="AF25" s="22" t="str">
        <x:v>UNKNOWN</x:v>
      </x:c>
      <x:c r="AG25" s="19" t="n">
        <x:v>0</x:v>
      </x:c>
      <x:c r="AH25" s="22" t="n">
        <x:v>512</x:v>
      </x:c>
      <x:c r="AI25" s="22" t="n">
        <x:v>42</x:v>
      </x:c>
      <x:c r="AJ25" s="24" t="str">
        <x:v>UNKNOWN</x:v>
      </x:c>
      <x:c r="AK25" s="20" t="str">
        <x:v>off-or-low</x:v>
      </x:c>
      <x:c r="AL25" s="20" t="str">
        <x:v>20261001T195754Z_57e25698_lm_api/qwen3-coder-next</x:v>
      </x:c>
      <x:c r="AM25" s="28"/>
      <x:c r="AN25" s="28" t="str">
        <x:v>results/20261001T195754Z_57e25698_lm_api/manifest.json</x:v>
      </x:c>
      <x:c r="AP25" s="31" t="str"/>
    </x:row>
    <x:row r="26" ht="46" customHeight="1">
      <x:c r="A26" s="21" t="str">
        <x:v>LM Studio API DEV</x:v>
      </x:c>
      <x:c r="B26" s="21" t="str">
        <x:v>qwen3.8-27b</x:v>
      </x:c>
      <x:c r="C26" s="21" t="str">
        <x:v>20261001T200228Z_379d1493_lm_api</x:v>
      </x:c>
      <x:c r="D26" s="21" t="str">
        <x:v>custom_dev</x:v>
      </x:c>
      <x:c r="E26" s="21" t="str">
        <x:v>measured</x:v>
      </x:c>
      <x:c r="F26" s="22" t="n">
        <x:v>12</x:v>
      </x:c>
      <x:c r="G26" s="22" t="n">
        <x:v>9</x:v>
      </x:c>
      <x:c r="H26" s="23" t="n">
        <x:f>IF(F26=0,"NOT RUN",G26/F26)</x:f>
        <x:v>0.75</x:v>
      </x:c>
      <x:c r="I26" s="22" t="n">
        <x:v>0</x:v>
      </x:c>
      <x:c r="J26" s="22" t="n">
        <x:v>5927</x:v>
      </x:c>
      <x:c r="K26" s="22" t="n">
        <x:v>413</x:v>
      </x:c>
      <x:c r="L26" s="22" t="n">
        <x:v>0</x:v>
      </x:c>
      <x:c r="M26" s="22" t="n">
        <x:v>12</x:v>
      </x:c>
      <x:c r="N26" s="22" t="n">
        <x:v>12</x:v>
      </x:c>
      <x:c r="O26" s="22" t="n">
        <x:v>12</x:v>
      </x:c>
      <x:c r="P26" s="24" t="n">
        <x:v>3.021573966666741</x:v>
      </x:c>
      <x:c r="Q26" s="24" t="n">
        <x:v>3.0159565000003568</x:v>
      </x:c>
      <x:c r="R26" s="24" t="n">
        <x:v>3.822321175000434</x:v>
      </x:c>
      <x:c r="S26" s="24" t="n">
        <x:v>0.7527335999993738</x:v>
      </x:c>
      <x:c r="T26" s="24" t="n">
        <x:v>0.7527335999993738</x:v>
      </x:c>
      <x:c r="U26" s="25" t="n">
        <x:v>16.268273118425185</x:v>
      </x:c>
      <x:c r="V26" s="24" t="str">
        <x:v>UNKNOWN</x:v>
      </x:c>
      <x:c r="W26" s="25" t="n">
        <x:v>15.775</x:v>
      </x:c>
      <x:c r="X26" s="22" t="n">
        <x:v>15266</x:v>
      </x:c>
      <x:c r="Y26" s="25" t="n">
        <x:f>IF(ISNUMBER(X26),X26/1024,X26)</x:f>
        <x:v>14.908203125</x:v>
      </x:c>
      <x:c r="Z26" s="25" t="n">
        <x:v>27.302814483642578</x:v>
      </x:c>
      <x:c r="AA26" s="25" t="n">
        <x:v>16.197610154747963</x:v>
      </x:c>
      <x:c r="AB26" s="73" t="str">
        <x:v>Q4_K_M</x:v>
      </x:c>
      <x:c r="AC26" s="20" t="str">
        <x:v>0.75</x:v>
      </x:c>
      <x:c r="AD26" s="20" t="str">
        <x:v>UNKNOWN</x:v>
      </x:c>
      <x:c r="AE26" s="22" t="n">
        <x:v>4096</x:v>
      </x:c>
      <x:c r="AF26" s="22" t="n">
        <x:v>1</x:v>
      </x:c>
      <x:c r="AG26" s="19" t="n">
        <x:v>0</x:v>
      </x:c>
      <x:c r="AH26" s="22" t="n">
        <x:v>512</x:v>
      </x:c>
      <x:c r="AI26" s="22" t="n">
        <x:v>42</x:v>
      </x:c>
      <x:c r="AJ26" s="24" t="n">
        <x:v>25.816949199999726</x:v>
      </x:c>
      <x:c r="AK26" s="20" t="str">
        <x:v>off-or-low</x:v>
      </x:c>
      <x:c r="AL26" s="20" t="str">
        <x:v>20261001T200228Z_379d1493_lm_api/qwen3.8-27b</x:v>
      </x:c>
      <x:c r="AM26" s="28"/>
      <x:c r="AN26" s="28" t="str">
        <x:v>results/20261001T200228Z_379d1493_lm_api/qwen3.8-27b_raw.jsonl</x:v>
      </x:c>
      <x:c r="AP26" s="31" t="str">
        <x:v>Paired bilingual DEV12, separate dataset Backend decode aligned in saved own-instance log 12/12.</x:v>
      </x:c>
    </x:row>
    <x:row r="27" ht="46" customHeight="1">
      <x:c r="A27" s="21" t="str">
        <x:v>LM Studio API DEV</x:v>
      </x:c>
      <x:c r="B27" s="21" t="str">
        <x:v>gemma-4-26b-a4b-it</x:v>
      </x:c>
      <x:c r="C27" s="21" t="str">
        <x:v>20261001T200228Z_379d1493_lm_api</x:v>
      </x:c>
      <x:c r="D27" s="21" t="str">
        <x:v>custom_dev</x:v>
      </x:c>
      <x:c r="E27" s="21" t="str">
        <x:v>measured</x:v>
      </x:c>
      <x:c r="F27" s="22" t="n">
        <x:v>12</x:v>
      </x:c>
      <x:c r="G27" s="22" t="n">
        <x:v>9</x:v>
      </x:c>
      <x:c r="H27" s="23" t="n">
        <x:f>IF(F27=0,"NOT RUN",G27/F27)</x:f>
        <x:v>0.75</x:v>
      </x:c>
      <x:c r="I27" s="22" t="n">
        <x:v>0</x:v>
      </x:c>
      <x:c r="J27" s="22" t="n">
        <x:v>6074</x:v>
      </x:c>
      <x:c r="K27" s="22" t="n">
        <x:v>490</x:v>
      </x:c>
      <x:c r="L27" s="22" t="n">
        <x:v>0</x:v>
      </x:c>
      <x:c r="M27" s="22" t="n">
        <x:v>12</x:v>
      </x:c>
      <x:c r="N27" s="22" t="n">
        <x:v>12</x:v>
      </x:c>
      <x:c r="O27" s="22" t="n">
        <x:v>12</x:v>
      </x:c>
      <x:c r="P27" s="24" t="n">
        <x:v>1.745775549999962</x:v>
      </x:c>
      <x:c r="Q27" s="24" t="n">
        <x:v>1.7067244500003653</x:v>
      </x:c>
      <x:c r="R27" s="24" t="n">
        <x:v>2.2382666650004466</x:v>
      </x:c>
      <x:c r="S27" s="24" t="n">
        <x:v>0.6190591499998845</x:v>
      </x:c>
      <x:c r="T27" s="24" t="n">
        <x:v>0.6190591499998845</x:v>
      </x:c>
      <x:c r="U27" s="25" t="n">
        <x:v>42.364687119316564</x:v>
      </x:c>
      <x:c r="V27" s="24" t="str">
        <x:v>UNKNOWN</x:v>
      </x:c>
      <x:c r="W27" s="25" t="n">
        <x:v>35.18</x:v>
      </x:c>
      <x:c r="X27" s="22" t="n">
        <x:v>14065</x:v>
      </x:c>
      <x:c r="Y27" s="25" t="n">
        <x:f>IF(ISNUMBER(X27),X27/1024,X27)</x:f>
        <x:v>13.7353515625</x:v>
      </x:c>
      <x:c r="Z27" s="25" t="n">
        <x:v>24.736309051513672</x:v>
      </x:c>
      <x:c r="AA27" s="25" t="n">
        <x:v>15.690822293050587</x:v>
      </x:c>
      <x:c r="AB27" s="73" t="str">
        <x:v>IQ4_NL_XL</x:v>
      </x:c>
      <x:c r="AC27" s="20" t="str">
        <x:v>0.70</x:v>
      </x:c>
      <x:c r="AD27" s="20" t="str">
        <x:v>UNKNOWN</x:v>
      </x:c>
      <x:c r="AE27" s="22" t="n">
        <x:v>4096</x:v>
      </x:c>
      <x:c r="AF27" s="22" t="n">
        <x:v>1</x:v>
      </x:c>
      <x:c r="AG27" s="19" t="n">
        <x:v>0</x:v>
      </x:c>
      <x:c r="AH27" s="22" t="n">
        <x:v>512</x:v>
      </x:c>
      <x:c r="AI27" s="22" t="n">
        <x:v>42</x:v>
      </x:c>
      <x:c r="AJ27" s="24" t="n">
        <x:v>21.399425900001006</x:v>
      </x:c>
      <x:c r="AK27" s="20" t="str">
        <x:v>off-or-low</x:v>
      </x:c>
      <x:c r="AL27" s="20" t="str">
        <x:v>20261001T200228Z_379d1493_lm_api/gemma-4-26b-a4b-it</x:v>
      </x:c>
      <x:c r="AM27" s="28"/>
      <x:c r="AN27" s="28" t="str">
        <x:v>results/20261001T200228Z_379d1493_lm_api/gemma-4-26b-a4b-it_raw.jsonl</x:v>
      </x:c>
      <x:c r="AP27" s="31" t="str">
        <x:v>Paired bilingual DEV12, separate dataset Backend decode aligned in saved own-instance log 12/12.</x:v>
      </x:c>
    </x:row>
    <x:row r="28" ht="46" customHeight="1">
      <x:c r="A28" s="21" t="str">
        <x:v>Historical CLI DEV</x:v>
      </x:c>
      <x:c r="B28" s="21" t="str">
        <x:v>qwen3.5-9b</x:v>
      </x:c>
      <x:c r="C28" s="21" t="str">
        <x:v>20261001_171700Z_39c83511_cli</x:v>
      </x:c>
      <x:c r="D28" s="21" t="str">
        <x:v>old_dev</x:v>
      </x:c>
      <x:c r="E28" s="21" t="str">
        <x:v>SAVED</x:v>
      </x:c>
      <x:c r="F28" s="22" t="n">
        <x:v>12</x:v>
      </x:c>
      <x:c r="G28" s="22" t="n">
        <x:v>4</x:v>
      </x:c>
      <x:c r="H28" s="23" t="n">
        <x:f>IF(F28=0,"NOT RUN",G28/F28)</x:f>
        <x:v>0.3333333333333333</x:v>
      </x:c>
      <x:c r="I28" s="22" t="n">
        <x:v>3</x:v>
      </x:c>
      <x:c r="J28" s="22" t="str">
        <x:v>UNKNOWN</x:v>
      </x:c>
      <x:c r="K28" s="22" t="str">
        <x:v>UNKNOWN</x:v>
      </x:c>
      <x:c r="L28" s="22" t="str">
        <x:v>UNKNOWN</x:v>
      </x:c>
      <x:c r="M28" s="22" t="n">
        <x:v>0</x:v>
      </x:c>
      <x:c r="N28" s="22" t="n">
        <x:v>0</x:v>
      </x:c>
      <x:c r="O28" s="22" t="n">
        <x:v>0</x:v>
      </x:c>
      <x:c r="P28" s="24" t="n">
        <x:v>1.1303371499999837</x:v>
      </x:c>
      <x:c r="Q28" s="24" t="n">
        <x:v>1.0561560500000269</x:v>
      </x:c>
      <x:c r="R28" s="24" t="n">
        <x:v>1.4400403949999825</x:v>
      </x:c>
      <x:c r="S28" s="24" t="str">
        <x:v>UNKNOWN</x:v>
      </x:c>
      <x:c r="T28" s="24" t="str">
        <x:v>UNKNOWN</x:v>
      </x:c>
      <x:c r="U28" s="25" t="str">
        <x:v>UNKNOWN</x:v>
      </x:c>
      <x:c r="V28" s="24" t="str">
        <x:v>UNKNOWN</x:v>
      </x:c>
      <x:c r="W28" s="25" t="str">
        <x:v>UNKNOWN</x:v>
      </x:c>
      <x:c r="X28" s="22" t="n">
        <x:v>11421</x:v>
      </x:c>
      <x:c r="Y28" s="25" t="n">
        <x:f>IF(ISNUMBER(X28),X28/1024,X28)</x:f>
        <x:v>11.1533203125</x:v>
      </x:c>
      <x:c r="Z28" s="25" t="n">
        <x:v>23.446380615234375</x:v>
      </x:c>
      <x:c r="AA28" s="25" t="n">
        <x:v>10.571967869997025</x:v>
      </x:c>
      <x:c r="AB28" s="73" t="str">
        <x:v>Q8_0</x:v>
      </x:c>
      <x:c r="AC28" s="20" t="str">
        <x:v>max</x:v>
      </x:c>
      <x:c r="AD28" s="20" t="str">
        <x:v>UNKNOWN</x:v>
      </x:c>
      <x:c r="AE28" s="22" t="n">
        <x:v>4096</x:v>
      </x:c>
      <x:c r="AF28" s="22" t="n">
        <x:v>1</x:v>
      </x:c>
      <x:c r="AG28" s="19" t="str">
        <x:v>UNKNOWN</x:v>
      </x:c>
      <x:c r="AH28" s="22" t="str">
        <x:v>UNKNOWN</x:v>
      </x:c>
      <x:c r="AI28" s="22" t="str">
        <x:v>UNKNOWN</x:v>
      </x:c>
      <x:c r="AJ28" s="24" t="str">
        <x:v>UNKNOWN</x:v>
      </x:c>
      <x:c r="AK28" s="20" t="str">
        <x:v>UNKNOWN</x:v>
      </x:c>
      <x:c r="AL28" s="20" t="str">
        <x:v>20261001_171700Z_39c83511_cli/qwen3.5-9b</x:v>
      </x:c>
      <x:c r="AM28" s="28"/>
      <x:c r="AN28" s="28" t="str">
        <x:v>results/20261001_171700Z_39c83511_cli/qwen3.5-9b_raw.jsonl</x:v>
      </x:c>
      <x:c r="AP28" s="31" t="str">
        <x:v>Historical CLI controls UNKNOWN. Repeated DEV observations; excluded from API quality selection.</x:v>
      </x:c>
    </x:row>
    <x:row r="29" ht="46" customHeight="1">
      <x:c r="A29" s="21" t="str">
        <x:v>Historical CLI DEV</x:v>
      </x:c>
      <x:c r="B29" s="21" t="str">
        <x:v>gemma-4-12b-it</x:v>
      </x:c>
      <x:c r="C29" s="21" t="str">
        <x:v>20261001_171700Z_39c83511_cli</x:v>
      </x:c>
      <x:c r="D29" s="21" t="str">
        <x:v>old_dev</x:v>
      </x:c>
      <x:c r="E29" s="21" t="str">
        <x:v>EARLY_STOP</x:v>
      </x:c>
      <x:c r="F29" s="22" t="n">
        <x:v>12</x:v>
      </x:c>
      <x:c r="G29" s="22" t="n">
        <x:v>4</x:v>
      </x:c>
      <x:c r="H29" s="23" t="n">
        <x:f>IF(F29=0,"NOT RUN",G29/F29)</x:f>
        <x:v>0.3333333333333333</x:v>
      </x:c>
      <x:c r="I29" s="22" t="n">
        <x:v>4</x:v>
      </x:c>
      <x:c r="J29" s="22" t="str">
        <x:v>UNKNOWN</x:v>
      </x:c>
      <x:c r="K29" s="22" t="str">
        <x:v>UNKNOWN</x:v>
      </x:c>
      <x:c r="L29" s="22" t="str">
        <x:v>UNKNOWN</x:v>
      </x:c>
      <x:c r="M29" s="22" t="n">
        <x:v>0</x:v>
      </x:c>
      <x:c r="N29" s="22" t="n">
        <x:v>0</x:v>
      </x:c>
      <x:c r="O29" s="22" t="n">
        <x:v>0</x:v>
      </x:c>
      <x:c r="P29" s="24" t="n">
        <x:v>1.377838816666781</x:v>
      </x:c>
      <x:c r="Q29" s="24" t="n">
        <x:v>1.1550714000002245</x:v>
      </x:c>
      <x:c r="R29" s="24" t="n">
        <x:v>2.3571923100000034</x:v>
      </x:c>
      <x:c r="S29" s="24" t="str">
        <x:v>UNKNOWN</x:v>
      </x:c>
      <x:c r="T29" s="24" t="str">
        <x:v>UNKNOWN</x:v>
      </x:c>
      <x:c r="U29" s="25" t="str">
        <x:v>UNKNOWN</x:v>
      </x:c>
      <x:c r="V29" s="24" t="str">
        <x:v>UNKNOWN</x:v>
      </x:c>
      <x:c r="W29" s="25" t="str">
        <x:v>UNKNOWN</x:v>
      </x:c>
      <x:c r="X29" s="22" t="n">
        <x:v>8599</x:v>
      </x:c>
      <x:c r="Y29" s="25" t="n">
        <x:f>IF(ISNUMBER(X29),X29/1024,X29)</x:f>
        <x:v>8.3974609375</x:v>
      </x:c>
      <x:c r="Z29" s="25" t="n">
        <x:v>19.99095916748047</x:v>
      </x:c>
      <x:c r="AA29" s="25" t="n">
        <x:v>6.495087593793869</x:v>
      </x:c>
      <x:c r="AB29" s="73" t="str">
        <x:v>Q4_K_S</x:v>
      </x:c>
      <x:c r="AC29" s="20" t="str">
        <x:v>max</x:v>
      </x:c>
      <x:c r="AD29" s="20" t="str">
        <x:v>UNKNOWN</x:v>
      </x:c>
      <x:c r="AE29" s="22" t="n">
        <x:v>4096</x:v>
      </x:c>
      <x:c r="AF29" s="22" t="n">
        <x:v>1</x:v>
      </x:c>
      <x:c r="AG29" s="19" t="str">
        <x:v>UNKNOWN</x:v>
      </x:c>
      <x:c r="AH29" s="22" t="str">
        <x:v>UNKNOWN</x:v>
      </x:c>
      <x:c r="AI29" s="22" t="str">
        <x:v>UNKNOWN</x:v>
      </x:c>
      <x:c r="AJ29" s="24" t="str">
        <x:v>UNKNOWN</x:v>
      </x:c>
      <x:c r="AK29" s="20" t="str">
        <x:v>UNKNOWN</x:v>
      </x:c>
      <x:c r="AL29" s="20" t="str">
        <x:v>20261001_171700Z_39c83511_cli/gemma-4-12b-it</x:v>
      </x:c>
      <x:c r="AM29" s="28"/>
      <x:c r="AN29" s="28" t="str">
        <x:v>results/20261001_171700Z_39c83511_cli/gemma-4-12b-it_raw.jsonl</x:v>
      </x:c>
      <x:c r="AP29" s="31" t="str">
        <x:v>Historical CLI controls UNKNOWN. Repeated DEV observations; excluded from API quality selection.</x:v>
      </x:c>
    </x:row>
    <x:row r="30" ht="46" customHeight="1">
      <x:c r="A30" s="21" t="str">
        <x:v>Historical CLI DEV</x:v>
      </x:c>
      <x:c r="B30" s="21" t="str">
        <x:v>qwen3.8-27b</x:v>
      </x:c>
      <x:c r="C30" s="21" t="str">
        <x:v>20261001_171700Z_39c83511_cli</x:v>
      </x:c>
      <x:c r="D30" s="21" t="str">
        <x:v>old_dev</x:v>
      </x:c>
      <x:c r="E30" s="21" t="str">
        <x:v>SAVED</x:v>
      </x:c>
      <x:c r="F30" s="22" t="n">
        <x:v>12</x:v>
      </x:c>
      <x:c r="G30" s="22" t="n">
        <x:v>9</x:v>
      </x:c>
      <x:c r="H30" s="23" t="n">
        <x:f>IF(F30=0,"NOT RUN",G30/F30)</x:f>
        <x:v>0.75</x:v>
      </x:c>
      <x:c r="I30" s="22" t="n">
        <x:v>0</x:v>
      </x:c>
      <x:c r="J30" s="22" t="str">
        <x:v>UNKNOWN</x:v>
      </x:c>
      <x:c r="K30" s="22" t="str">
        <x:v>UNKNOWN</x:v>
      </x:c>
      <x:c r="L30" s="22" t="str">
        <x:v>UNKNOWN</x:v>
      </x:c>
      <x:c r="M30" s="22" t="n">
        <x:v>0</x:v>
      </x:c>
      <x:c r="N30" s="22" t="n">
        <x:v>0</x:v>
      </x:c>
      <x:c r="O30" s="22" t="n">
        <x:v>0</x:v>
      </x:c>
      <x:c r="P30" s="24" t="n">
        <x:v>3.75725139166669</x:v>
      </x:c>
      <x:c r="Q30" s="24" t="n">
        <x:v>3.1221266499999274</x:v>
      </x:c>
      <x:c r="R30" s="24" t="n">
        <x:v>6.046302595000043</x:v>
      </x:c>
      <x:c r="S30" s="24" t="str">
        <x:v>UNKNOWN</x:v>
      </x:c>
      <x:c r="T30" s="24" t="str">
        <x:v>UNKNOWN</x:v>
      </x:c>
      <x:c r="U30" s="25" t="str">
        <x:v>UNKNOWN</x:v>
      </x:c>
      <x:c r="V30" s="24" t="str">
        <x:v>UNKNOWN</x:v>
      </x:c>
      <x:c r="W30" s="25" t="str">
        <x:v>UNKNOWN</x:v>
      </x:c>
      <x:c r="X30" s="22" t="n">
        <x:v>15091</x:v>
      </x:c>
      <x:c r="Y30" s="25" t="n">
        <x:f>IF(ISNUMBER(X30),X30/1024,X30)</x:f>
        <x:v>14.7373046875</x:v>
      </x:c>
      <x:c r="Z30" s="25" t="n">
        <x:v>28.0845947265625</x:v>
      </x:c>
      <x:c r="AA30" s="25" t="n">
        <x:v>16.197610154747963</x:v>
      </x:c>
      <x:c r="AB30" s="73" t="str">
        <x:v>Q4_K_M</x:v>
      </x:c>
      <x:c r="AC30" s="20" t="str">
        <x:v>0.75</x:v>
      </x:c>
      <x:c r="AD30" s="20" t="str">
        <x:v>UNKNOWN</x:v>
      </x:c>
      <x:c r="AE30" s="22" t="n">
        <x:v>4096</x:v>
      </x:c>
      <x:c r="AF30" s="22" t="n">
        <x:v>1</x:v>
      </x:c>
      <x:c r="AG30" s="19" t="str">
        <x:v>UNKNOWN</x:v>
      </x:c>
      <x:c r="AH30" s="22" t="str">
        <x:v>UNKNOWN</x:v>
      </x:c>
      <x:c r="AI30" s="22" t="str">
        <x:v>UNKNOWN</x:v>
      </x:c>
      <x:c r="AJ30" s="24" t="str">
        <x:v>UNKNOWN</x:v>
      </x:c>
      <x:c r="AK30" s="20" t="str">
        <x:v>UNKNOWN</x:v>
      </x:c>
      <x:c r="AL30" s="20" t="str">
        <x:v>20261001_171700Z_39c83511_cli/qwen3.8-27b</x:v>
      </x:c>
      <x:c r="AM30" s="28"/>
      <x:c r="AN30" s="28" t="str">
        <x:v>results/20261001_171700Z_39c83511_cli/qwen3.8-27b_raw.jsonl</x:v>
      </x:c>
      <x:c r="AP30" s="31" t="str">
        <x:v>Historical CLI controls UNKNOWN. Repeated DEV observations; excluded from API quality selection.</x:v>
      </x:c>
    </x:row>
    <x:row r="31" ht="46" customHeight="1">
      <x:c r="A31" s="21" t="str">
        <x:v>Historical CLI DEV</x:v>
      </x:c>
      <x:c r="B31" s="21" t="str">
        <x:v>qwen3.5-35b-a3b</x:v>
      </x:c>
      <x:c r="C31" s="21" t="str">
        <x:v>20261001_171700Z_39c83511_cli</x:v>
      </x:c>
      <x:c r="D31" s="21" t="str">
        <x:v>old_dev</x:v>
      </x:c>
      <x:c r="E31" s="21" t="str">
        <x:v>SAVED</x:v>
      </x:c>
      <x:c r="F31" s="22" t="n">
        <x:v>12</x:v>
      </x:c>
      <x:c r="G31" s="22" t="n">
        <x:v>7</x:v>
      </x:c>
      <x:c r="H31" s="23" t="n">
        <x:f>IF(F31=0,"NOT RUN",G31/F31)</x:f>
        <x:v>0.5833333333333334</x:v>
      </x:c>
      <x:c r="I31" s="22" t="n">
        <x:v>0</x:v>
      </x:c>
      <x:c r="J31" s="22" t="str">
        <x:v>UNKNOWN</x:v>
      </x:c>
      <x:c r="K31" s="22" t="str">
        <x:v>UNKNOWN</x:v>
      </x:c>
      <x:c r="L31" s="22" t="str">
        <x:v>UNKNOWN</x:v>
      </x:c>
      <x:c r="M31" s="22" t="n">
        <x:v>0</x:v>
      </x:c>
      <x:c r="N31" s="22" t="n">
        <x:v>0</x:v>
      </x:c>
      <x:c r="O31" s="22" t="n">
        <x:v>0</x:v>
      </x:c>
      <x:c r="P31" s="24" t="n">
        <x:v>2.68146010833334</x:v>
      </x:c>
      <x:c r="Q31" s="24" t="n">
        <x:v>2.1182916000000205</x:v>
      </x:c>
      <x:c r="R31" s="24" t="n">
        <x:v>5.825602805000081</x:v>
      </x:c>
      <x:c r="S31" s="24" t="str">
        <x:v>UNKNOWN</x:v>
      </x:c>
      <x:c r="T31" s="24" t="str">
        <x:v>UNKNOWN</x:v>
      </x:c>
      <x:c r="U31" s="25" t="str">
        <x:v>UNKNOWN</x:v>
      </x:c>
      <x:c r="V31" s="24" t="str">
        <x:v>UNKNOWN</x:v>
      </x:c>
      <x:c r="W31" s="25" t="str">
        <x:v>UNKNOWN</x:v>
      </x:c>
      <x:c r="X31" s="22" t="n">
        <x:v>13967</x:v>
      </x:c>
      <x:c r="Y31" s="25" t="n">
        <x:f>IF(ISNUMBER(X31),X31/1024,X31)</x:f>
        <x:v>13.6396484375</x:v>
      </x:c>
      <x:c r="Z31" s="25" t="n">
        <x:v>30.110130310058594</x:v>
      </x:c>
      <x:c r="AA31" s="25" t="n">
        <x:v>20.481590742245317</x:v>
      </x:c>
      <x:c r="AB31" s="73" t="str">
        <x:v>Q4_K_L</x:v>
      </x:c>
      <x:c r="AC31" s="20" t="str">
        <x:v>0.55</x:v>
      </x:c>
      <x:c r="AD31" s="20" t="str">
        <x:v>UNKNOWN</x:v>
      </x:c>
      <x:c r="AE31" s="22" t="n">
        <x:v>4096</x:v>
      </x:c>
      <x:c r="AF31" s="22" t="n">
        <x:v>1</x:v>
      </x:c>
      <x:c r="AG31" s="19" t="str">
        <x:v>UNKNOWN</x:v>
      </x:c>
      <x:c r="AH31" s="22" t="str">
        <x:v>UNKNOWN</x:v>
      </x:c>
      <x:c r="AI31" s="22" t="str">
        <x:v>UNKNOWN</x:v>
      </x:c>
      <x:c r="AJ31" s="24" t="str">
        <x:v>UNKNOWN</x:v>
      </x:c>
      <x:c r="AK31" s="20" t="str">
        <x:v>UNKNOWN</x:v>
      </x:c>
      <x:c r="AL31" s="20" t="str">
        <x:v>20261001_171700Z_39c83511_cli/qwen3.5-35b-a3b</x:v>
      </x:c>
      <x:c r="AM31" s="28"/>
      <x:c r="AN31" s="28" t="str">
        <x:v>results/20261001_171700Z_39c83511_cli/qwen3.5-35b-a3b_raw.jsonl</x:v>
      </x:c>
      <x:c r="AP31" s="31" t="str">
        <x:v>Historical CLI controls UNKNOWN. Repeated DEV observations; excluded from API quality selection.</x:v>
      </x:c>
    </x:row>
    <x:row r="32" ht="46" customHeight="1">
      <x:c r="A32" s="21" t="str">
        <x:v>Historical CLI DEV</x:v>
      </x:c>
      <x:c r="B32" s="21" t="str">
        <x:v>qwen3.5-9b</x:v>
      </x:c>
      <x:c r="C32" s="21" t="str">
        <x:v>20261001_172204Z_9a16b3ba_cli</x:v>
      </x:c>
      <x:c r="D32" s="21" t="str">
        <x:v>old_dev</x:v>
      </x:c>
      <x:c r="E32" s="21" t="str">
        <x:v>EARLY_STOP</x:v>
      </x:c>
      <x:c r="F32" s="22" t="n">
        <x:v>12</x:v>
      </x:c>
      <x:c r="G32" s="22" t="n">
        <x:v>4</x:v>
      </x:c>
      <x:c r="H32" s="23" t="n">
        <x:f>IF(F32=0,"NOT RUN",G32/F32)</x:f>
        <x:v>0.3333333333333333</x:v>
      </x:c>
      <x:c r="I32" s="22" t="n">
        <x:v>4</x:v>
      </x:c>
      <x:c r="J32" s="22" t="n">
        <x:v>5588</x:v>
      </x:c>
      <x:c r="K32" s="22" t="n">
        <x:v>348</x:v>
      </x:c>
      <x:c r="L32" s="22" t="str">
        <x:v>UNKNOWN</x:v>
      </x:c>
      <x:c r="M32" s="22" t="n">
        <x:v>12</x:v>
      </x:c>
      <x:c r="N32" s="22" t="n">
        <x:v>12</x:v>
      </x:c>
      <x:c r="O32" s="22" t="n">
        <x:v>0</x:v>
      </x:c>
      <x:c r="P32" s="24" t="n">
        <x:v>1.0760329166666907</x:v>
      </x:c>
      <x:c r="Q32" s="24" t="n">
        <x:v>1.0526063500001328</x:v>
      </x:c>
      <x:c r="R32" s="24" t="n">
        <x:v>1.350949879999962</x:v>
      </x:c>
      <x:c r="S32" s="24" t="str">
        <x:v>UNKNOWN</x:v>
      </x:c>
      <x:c r="T32" s="24" t="str">
        <x:v>UNKNOWN</x:v>
      </x:c>
      <x:c r="U32" s="25" t="str">
        <x:v>UNKNOWN</x:v>
      </x:c>
      <x:c r="V32" s="24" t="n">
        <x:v>0.101</x:v>
      </x:c>
      <x:c r="W32" s="25" t="n">
        <x:v>42.94</x:v>
      </x:c>
      <x:c r="X32" s="22" t="n">
        <x:v>11421</x:v>
      </x:c>
      <x:c r="Y32" s="25" t="n">
        <x:f>IF(ISNUMBER(X32),X32/1024,X32)</x:f>
        <x:v>11.1533203125</x:v>
      </x:c>
      <x:c r="Z32" s="25" t="n">
        <x:v>21.384536743164062</x:v>
      </x:c>
      <x:c r="AA32" s="25" t="n">
        <x:v>10.571967869997025</x:v>
      </x:c>
      <x:c r="AB32" s="73" t="str">
        <x:v>Q8_0</x:v>
      </x:c>
      <x:c r="AC32" s="20" t="str">
        <x:v>max</x:v>
      </x:c>
      <x:c r="AD32" s="20" t="str">
        <x:v>UNKNOWN</x:v>
      </x:c>
      <x:c r="AE32" s="22" t="n">
        <x:v>4096</x:v>
      </x:c>
      <x:c r="AF32" s="22" t="n">
        <x:v>1</x:v>
      </x:c>
      <x:c r="AG32" s="19" t="str">
        <x:v>UNKNOWN</x:v>
      </x:c>
      <x:c r="AH32" s="22" t="str">
        <x:v>UNKNOWN</x:v>
      </x:c>
      <x:c r="AI32" s="22" t="str">
        <x:v>UNKNOWN</x:v>
      </x:c>
      <x:c r="AJ32" s="24" t="str">
        <x:v>UNKNOWN</x:v>
      </x:c>
      <x:c r="AK32" s="20" t="str">
        <x:v>UNKNOWN</x:v>
      </x:c>
      <x:c r="AL32" s="20" t="str">
        <x:v>20261001_172204Z_9a16b3ba_cli/qwen3.5-9b</x:v>
      </x:c>
      <x:c r="AM32" s="28"/>
      <x:c r="AN32" s="28" t="str">
        <x:v>results/20261001_172204Z_9a16b3ba_cli/qwen3.5-9b_raw.jsonl</x:v>
      </x:c>
      <x:c r="AP32" s="31" t="str">
        <x:v>Historical CLI controls UNKNOWN. Repeated DEV observations; excluded from API quality selection.</x:v>
      </x:c>
    </x:row>
    <x:row r="33" ht="46" customHeight="1">
      <x:c r="A33" s="21" t="str">
        <x:v>Historical CLI DEV</x:v>
      </x:c>
      <x:c r="B33" s="21" t="str">
        <x:v>gemma-4-12b-it</x:v>
      </x:c>
      <x:c r="C33" s="21" t="str">
        <x:v>20261001_172204Z_9a16b3ba_cli</x:v>
      </x:c>
      <x:c r="D33" s="21" t="str">
        <x:v>old_dev</x:v>
      </x:c>
      <x:c r="E33" s="21" t="str">
        <x:v>EARLY_STOP</x:v>
      </x:c>
      <x:c r="F33" s="22" t="n">
        <x:v>12</x:v>
      </x:c>
      <x:c r="G33" s="22" t="n">
        <x:v>4</x:v>
      </x:c>
      <x:c r="H33" s="23" t="n">
        <x:f>IF(F33=0,"NOT RUN",G33/F33)</x:f>
        <x:v>0.3333333333333333</x:v>
      </x:c>
      <x:c r="I33" s="22" t="n">
        <x:v>4</x:v>
      </x:c>
      <x:c r="J33" s="22" t="n">
        <x:v>5764</x:v>
      </x:c>
      <x:c r="K33" s="22" t="n">
        <x:v>406</x:v>
      </x:c>
      <x:c r="L33" s="22" t="str">
        <x:v>UNKNOWN</x:v>
      </x:c>
      <x:c r="M33" s="22" t="n">
        <x:v>12</x:v>
      </x:c>
      <x:c r="N33" s="22" t="n">
        <x:v>12</x:v>
      </x:c>
      <x:c r="O33" s="22" t="n">
        <x:v>0</x:v>
      </x:c>
      <x:c r="P33" s="24" t="n">
        <x:v>1.2025450583332333</x:v>
      </x:c>
      <x:c r="Q33" s="24" t="n">
        <x:v>1.1963603999997758</x:v>
      </x:c>
      <x:c r="R33" s="24" t="n">
        <x:v>1.3826371500001187</x:v>
      </x:c>
      <x:c r="S33" s="24" t="str">
        <x:v>UNKNOWN</x:v>
      </x:c>
      <x:c r="T33" s="24" t="str">
        <x:v>UNKNOWN</x:v>
      </x:c>
      <x:c r="U33" s="25" t="str">
        <x:v>UNKNOWN</x:v>
      </x:c>
      <x:c r="V33" s="24" t="n">
        <x:v>0.192</x:v>
      </x:c>
      <x:c r="W33" s="25" t="n">
        <x:v>47.665000000000006</x:v>
      </x:c>
      <x:c r="X33" s="22" t="n">
        <x:v>8593</x:v>
      </x:c>
      <x:c r="Y33" s="25" t="n">
        <x:f>IF(ISNUMBER(X33),X33/1024,X33)</x:f>
        <x:v>8.3916015625</x:v>
      </x:c>
      <x:c r="Z33" s="25" t="n">
        <x:v>18.24325180053711</x:v>
      </x:c>
      <x:c r="AA33" s="25" t="n">
        <x:v>6.495087593793869</x:v>
      </x:c>
      <x:c r="AB33" s="73" t="str">
        <x:v>Q4_K_S</x:v>
      </x:c>
      <x:c r="AC33" s="20" t="str">
        <x:v>max</x:v>
      </x:c>
      <x:c r="AD33" s="20" t="str">
        <x:v>UNKNOWN</x:v>
      </x:c>
      <x:c r="AE33" s="22" t="n">
        <x:v>4096</x:v>
      </x:c>
      <x:c r="AF33" s="22" t="n">
        <x:v>1</x:v>
      </x:c>
      <x:c r="AG33" s="19" t="str">
        <x:v>UNKNOWN</x:v>
      </x:c>
      <x:c r="AH33" s="22" t="str">
        <x:v>UNKNOWN</x:v>
      </x:c>
      <x:c r="AI33" s="22" t="str">
        <x:v>UNKNOWN</x:v>
      </x:c>
      <x:c r="AJ33" s="24" t="str">
        <x:v>UNKNOWN</x:v>
      </x:c>
      <x:c r="AK33" s="20" t="str">
        <x:v>UNKNOWN</x:v>
      </x:c>
      <x:c r="AL33" s="20" t="str">
        <x:v>20261001_172204Z_9a16b3ba_cli/gemma-4-12b-it</x:v>
      </x:c>
      <x:c r="AM33" s="28"/>
      <x:c r="AN33" s="28" t="str">
        <x:v>results/20261001_172204Z_9a16b3ba_cli/gemma-4-12b-it_raw.jsonl</x:v>
      </x:c>
      <x:c r="AP33" s="31" t="str">
        <x:v>Historical CLI controls UNKNOWN. Repeated DEV observations; excluded from API quality selection.</x:v>
      </x:c>
    </x:row>
    <x:row r="34" ht="46" customHeight="1">
      <x:c r="A34" s="21" t="str">
        <x:v>Historical CLI DEV</x:v>
      </x:c>
      <x:c r="B34" s="21" t="str">
        <x:v>qwen3.8-27b</x:v>
      </x:c>
      <x:c r="C34" s="21" t="str">
        <x:v>20261001_172204Z_9a16b3ba_cli</x:v>
      </x:c>
      <x:c r="D34" s="21" t="str">
        <x:v>old_dev</x:v>
      </x:c>
      <x:c r="E34" s="21" t="str">
        <x:v>SAVED</x:v>
      </x:c>
      <x:c r="F34" s="22" t="n">
        <x:v>36</x:v>
      </x:c>
      <x:c r="G34" s="22" t="n">
        <x:v>25</x:v>
      </x:c>
      <x:c r="H34" s="23" t="n">
        <x:f>IF(F34=0,"NOT RUN",G34/F34)</x:f>
        <x:v>0.6944444444444444</x:v>
      </x:c>
      <x:c r="I34" s="22" t="n">
        <x:v>0</x:v>
      </x:c>
      <x:c r="J34" s="22" t="n">
        <x:v>16486</x:v>
      </x:c>
      <x:c r="K34" s="22" t="n">
        <x:v>1100</x:v>
      </x:c>
      <x:c r="L34" s="22" t="str">
        <x:v>UNKNOWN</x:v>
      </x:c>
      <x:c r="M34" s="22" t="n">
        <x:v>36</x:v>
      </x:c>
      <x:c r="N34" s="22" t="n">
        <x:v>36</x:v>
      </x:c>
      <x:c r="O34" s="22" t="n">
        <x:v>0</x:v>
      </x:c>
      <x:c r="P34" s="24" t="n">
        <x:v>3.20453040833335</x:v>
      </x:c>
      <x:c r="Q34" s="24" t="n">
        <x:v>3.041815349999979</x:v>
      </x:c>
      <x:c r="R34" s="24" t="n">
        <x:v>4.450264724999897</x:v>
      </x:c>
      <x:c r="S34" s="24" t="str">
        <x:v>UNKNOWN</x:v>
      </x:c>
      <x:c r="T34" s="24" t="str">
        <x:v>UNKNOWN</x:v>
      </x:c>
      <x:c r="U34" s="25" t="str">
        <x:v>UNKNOWN</x:v>
      </x:c>
      <x:c r="V34" s="24" t="n">
        <x:v>0.7144999999999999</x:v>
      </x:c>
      <x:c r="W34" s="25" t="n">
        <x:v>14.149999999999999</x:v>
      </x:c>
      <x:c r="X34" s="22" t="n">
        <x:v>15095</x:v>
      </x:c>
      <x:c r="Y34" s="25" t="n">
        <x:f>IF(ISNUMBER(X34),X34/1024,X34)</x:f>
        <x:v>14.7412109375</x:v>
      </x:c>
      <x:c r="Z34" s="25" t="n">
        <x:v>27.758312225341797</x:v>
      </x:c>
      <x:c r="AA34" s="25" t="n">
        <x:v>16.197610154747963</x:v>
      </x:c>
      <x:c r="AB34" s="73" t="str">
        <x:v>Q4_K_M</x:v>
      </x:c>
      <x:c r="AC34" s="20" t="str">
        <x:v>0.75</x:v>
      </x:c>
      <x:c r="AD34" s="20" t="str">
        <x:v>UNKNOWN</x:v>
      </x:c>
      <x:c r="AE34" s="22" t="n">
        <x:v>4096</x:v>
      </x:c>
      <x:c r="AF34" s="22" t="n">
        <x:v>1</x:v>
      </x:c>
      <x:c r="AG34" s="19" t="str">
        <x:v>UNKNOWN</x:v>
      </x:c>
      <x:c r="AH34" s="22" t="str">
        <x:v>UNKNOWN</x:v>
      </x:c>
      <x:c r="AI34" s="22" t="str">
        <x:v>UNKNOWN</x:v>
      </x:c>
      <x:c r="AJ34" s="24" t="str">
        <x:v>UNKNOWN</x:v>
      </x:c>
      <x:c r="AK34" s="20" t="str">
        <x:v>UNKNOWN</x:v>
      </x:c>
      <x:c r="AL34" s="20" t="str">
        <x:v>20261001_172204Z_9a16b3ba_cli/qwen3.8-27b</x:v>
      </x:c>
      <x:c r="AM34" s="28"/>
      <x:c r="AN34" s="28" t="str">
        <x:v>results/20261001_172204Z_9a16b3ba_cli/qwen3.8-27b_raw.jsonl</x:v>
      </x:c>
      <x:c r="AP34" s="31" t="str">
        <x:v>Historical CLI controls UNKNOWN. Repeated DEV observations; excluded from API quality selection.</x:v>
      </x:c>
    </x:row>
    <x:row r="35" ht="46" customHeight="1">
      <x:c r="A35" s="21" t="str">
        <x:v>Historical CLI DEV</x:v>
      </x:c>
      <x:c r="B35" s="21" t="str">
        <x:v>qwen3.5-35b-a3b</x:v>
      </x:c>
      <x:c r="C35" s="21" t="str">
        <x:v>20261001_172204Z_9a16b3ba_cli</x:v>
      </x:c>
      <x:c r="D35" s="21" t="str">
        <x:v>old_dev</x:v>
      </x:c>
      <x:c r="E35" s="21" t="str">
        <x:v>SAVED</x:v>
      </x:c>
      <x:c r="F35" s="22" t="n">
        <x:v>36</x:v>
      </x:c>
      <x:c r="G35" s="22" t="n">
        <x:v>19</x:v>
      </x:c>
      <x:c r="H35" s="23" t="n">
        <x:f>IF(F35=0,"NOT RUN",G35/F35)</x:f>
        <x:v>0.5277777777777778</x:v>
      </x:c>
      <x:c r="I35" s="22" t="n">
        <x:v>0</x:v>
      </x:c>
      <x:c r="J35" s="22" t="n">
        <x:v>16486</x:v>
      </x:c>
      <x:c r="K35" s="22" t="n">
        <x:v>1248</x:v>
      </x:c>
      <x:c r="L35" s="22" t="str">
        <x:v>UNKNOWN</x:v>
      </x:c>
      <x:c r="M35" s="22" t="n">
        <x:v>36</x:v>
      </x:c>
      <x:c r="N35" s="22" t="n">
        <x:v>36</x:v>
      </x:c>
      <x:c r="O35" s="22" t="n">
        <x:v>0</x:v>
      </x:c>
      <x:c r="P35" s="24" t="n">
        <x:v>2.1663644999999985</x:v>
      </x:c>
      <x:c r="Q35" s="24" t="n">
        <x:v>1.992164799999955</x:v>
      </x:c>
      <x:c r="R35" s="24" t="n">
        <x:v>2.776555124999959</x:v>
      </x:c>
      <x:c r="S35" s="24" t="str">
        <x:v>UNKNOWN</x:v>
      </x:c>
      <x:c r="T35" s="24" t="str">
        <x:v>UNKNOWN</x:v>
      </x:c>
      <x:c r="U35" s="25" t="str">
        <x:v>UNKNOWN</x:v>
      </x:c>
      <x:c r="V35" s="24" t="n">
        <x:v>0.628</x:v>
      </x:c>
      <x:c r="W35" s="25" t="n">
        <x:v>28.755000000000003</x:v>
      </x:c>
      <x:c r="X35" s="22" t="n">
        <x:v>14187</x:v>
      </x:c>
      <x:c r="Y35" s="25" t="n">
        <x:f>IF(ISNUMBER(X35),X35/1024,X35)</x:f>
        <x:v>13.8544921875</x:v>
      </x:c>
      <x:c r="Z35" s="25" t="n">
        <x:v>29.794475555419922</x:v>
      </x:c>
      <x:c r="AA35" s="25" t="n">
        <x:v>20.481590742245317</x:v>
      </x:c>
      <x:c r="AB35" s="73" t="str">
        <x:v>Q4_K_L</x:v>
      </x:c>
      <x:c r="AC35" s="20" t="str">
        <x:v>0.55</x:v>
      </x:c>
      <x:c r="AD35" s="20" t="str">
        <x:v>UNKNOWN</x:v>
      </x:c>
      <x:c r="AE35" s="22" t="n">
        <x:v>4096</x:v>
      </x:c>
      <x:c r="AF35" s="22" t="n">
        <x:v>1</x:v>
      </x:c>
      <x:c r="AG35" s="19" t="str">
        <x:v>UNKNOWN</x:v>
      </x:c>
      <x:c r="AH35" s="22" t="str">
        <x:v>UNKNOWN</x:v>
      </x:c>
      <x:c r="AI35" s="22" t="str">
        <x:v>UNKNOWN</x:v>
      </x:c>
      <x:c r="AJ35" s="24" t="str">
        <x:v>UNKNOWN</x:v>
      </x:c>
      <x:c r="AK35" s="20" t="str">
        <x:v>UNKNOWN</x:v>
      </x:c>
      <x:c r="AL35" s="20" t="str">
        <x:v>20261001_172204Z_9a16b3ba_cli/qwen3.5-35b-a3b</x:v>
      </x:c>
      <x:c r="AM35" s="28"/>
      <x:c r="AN35" s="28" t="str">
        <x:v>results/20261001_172204Z_9a16b3ba_cli/qwen3.5-35b-a3b_raw.jsonl</x:v>
      </x:c>
      <x:c r="AP35" s="31" t="str">
        <x:v>Historical CLI controls UNKNOWN. Repeated DEV observations; excluded from API quality selection.</x:v>
      </x:c>
    </x:row>
    <x:row r="36" ht="46" customHeight="1">
      <x:c r="A36" s="21" t="str">
        <x:v>Historical CLI DEV</x:v>
      </x:c>
      <x:c r="B36" s="21" t="str">
        <x:v>gpt-oss-20b</x:v>
      </x:c>
      <x:c r="C36" s="21" t="str">
        <x:v>20261001_172853Z_ede0f9c9_cli</x:v>
      </x:c>
      <x:c r="D36" s="21" t="str">
        <x:v>old_dev</x:v>
      </x:c>
      <x:c r="E36" s="21" t="str">
        <x:v>EARLY_STOP</x:v>
      </x:c>
      <x:c r="F36" s="22" t="n">
        <x:v>6</x:v>
      </x:c>
      <x:c r="G36" s="22" t="n">
        <x:v>0</x:v>
      </x:c>
      <x:c r="H36" s="23" t="n">
        <x:f>IF(F36=0,"NOT RUN",G36/F36)</x:f>
        <x:v>0</x:v>
      </x:c>
      <x:c r="I36" s="22" t="n">
        <x:v>6</x:v>
      </x:c>
      <x:c r="J36" s="22" t="n">
        <x:v>2983</x:v>
      </x:c>
      <x:c r="K36" s="22" t="n">
        <x:v>2469</x:v>
      </x:c>
      <x:c r="L36" s="22" t="str">
        <x:v>UNKNOWN</x:v>
      </x:c>
      <x:c r="M36" s="22" t="n">
        <x:v>6</x:v>
      </x:c>
      <x:c r="N36" s="22" t="n">
        <x:v>6</x:v>
      </x:c>
      <x:c r="O36" s="22" t="n">
        <x:v>0</x:v>
      </x:c>
      <x:c r="P36" s="24" t="n">
        <x:v>4.428184316666678</x:v>
      </x:c>
      <x:c r="Q36" s="24" t="n">
        <x:v>4.112187400000039</x:v>
      </x:c>
      <x:c r="R36" s="24" t="n">
        <x:v>6.884399224999697</x:v>
      </x:c>
      <x:c r="S36" s="24" t="str">
        <x:v>UNKNOWN</x:v>
      </x:c>
      <x:c r="T36" s="24" t="str">
        <x:v>UNKNOWN</x:v>
      </x:c>
      <x:c r="U36" s="25" t="str">
        <x:v>UNKNOWN</x:v>
      </x:c>
      <x:c r="V36" s="24" t="n">
        <x:v>0.069</x:v>
      </x:c>
      <x:c r="W36" s="25" t="n">
        <x:v>106.69</x:v>
      </x:c>
      <x:c r="X36" s="22" t="n">
        <x:v>12453</x:v>
      </x:c>
      <x:c r="Y36" s="25" t="n">
        <x:f>IF(ISNUMBER(X36),X36/1024,X36)</x:f>
        <x:v>12.1611328125</x:v>
      </x:c>
      <x:c r="Z36" s="25" t="n">
        <x:v>24.01510238647461</x:v>
      </x:c>
      <x:c r="AA36" s="25" t="n">
        <x:v>11.277914802543819</x:v>
      </x:c>
      <x:c r="AB36" s="73" t="str">
        <x:v>Q8_0</x:v>
      </x:c>
      <x:c r="AC36" s="20" t="str">
        <x:v>max</x:v>
      </x:c>
      <x:c r="AD36" s="20" t="str">
        <x:v>UNKNOWN</x:v>
      </x:c>
      <x:c r="AE36" s="22" t="n">
        <x:v>4096</x:v>
      </x:c>
      <x:c r="AF36" s="22" t="n">
        <x:v>1</x:v>
      </x:c>
      <x:c r="AG36" s="19" t="str">
        <x:v>UNKNOWN</x:v>
      </x:c>
      <x:c r="AH36" s="22" t="str">
        <x:v>UNKNOWN</x:v>
      </x:c>
      <x:c r="AI36" s="22" t="str">
        <x:v>UNKNOWN</x:v>
      </x:c>
      <x:c r="AJ36" s="24" t="str">
        <x:v>UNKNOWN</x:v>
      </x:c>
      <x:c r="AK36" s="20" t="str">
        <x:v>UNKNOWN</x:v>
      </x:c>
      <x:c r="AL36" s="20" t="str">
        <x:v>20261001_172853Z_ede0f9c9_cli/gpt-oss-20b</x:v>
      </x:c>
      <x:c r="AM36" s="28"/>
      <x:c r="AN36" s="28" t="str">
        <x:v>results/20261001_172853Z_ede0f9c9_cli/gpt-oss-20b_raw.jsonl</x:v>
      </x:c>
      <x:c r="AP36" s="31" t="str">
        <x:v>Historical CLI controls UNKNOWN. Repeated DEV observations; excluded from API quality selection.</x:v>
      </x:c>
    </x:row>
    <x:row r="37" ht="46" customHeight="1">
      <x:c r="A37" s="21" t="str">
        <x:v>Historical CLI DEV</x:v>
      </x:c>
      <x:c r="B37" s="21" t="str">
        <x:v>gpt-oss-20b</x:v>
      </x:c>
      <x:c r="C37" s="21" t="str">
        <x:v>20261001_173130Z_dc97b1d6_cli</x:v>
      </x:c>
      <x:c r="D37" s="21" t="str">
        <x:v>old_dev</x:v>
      </x:c>
      <x:c r="E37" s="21" t="str">
        <x:v>SAVED</x:v>
      </x:c>
      <x:c r="F37" s="22" t="n">
        <x:v>36</x:v>
      </x:c>
      <x:c r="G37" s="22" t="n">
        <x:v>28</x:v>
      </x:c>
      <x:c r="H37" s="23" t="n">
        <x:f>IF(F37=0,"NOT RUN",G37/F37)</x:f>
        <x:v>0.7777777777777778</x:v>
      </x:c>
      <x:c r="I37" s="22" t="n">
        <x:v>3</x:v>
      </x:c>
      <x:c r="J37" s="22" t="n">
        <x:v>16004</x:v>
      </x:c>
      <x:c r="K37" s="22" t="n">
        <x:v>14529</x:v>
      </x:c>
      <x:c r="L37" s="22" t="str">
        <x:v>UNKNOWN</x:v>
      </x:c>
      <x:c r="M37" s="22" t="n">
        <x:v>33</x:v>
      </x:c>
      <x:c r="N37" s="22" t="n">
        <x:v>33</x:v>
      </x:c>
      <x:c r="O37" s="22" t="n">
        <x:v>0</x:v>
      </x:c>
      <x:c r="P37" s="24" t="n">
        <x:v>4.3687134888888925</x:v>
      </x:c>
      <x:c r="Q37" s="24" t="n">
        <x:v>3.6043354499997804</x:v>
      </x:c>
      <x:c r="R37" s="24" t="n">
        <x:v>8.53085677499962</x:v>
      </x:c>
      <x:c r="S37" s="24" t="str">
        <x:v>UNKNOWN</x:v>
      </x:c>
      <x:c r="T37" s="24" t="str">
        <x:v>UNKNOWN</x:v>
      </x:c>
      <x:c r="U37" s="25" t="str">
        <x:v>UNKNOWN</x:v>
      </x:c>
      <x:c r="V37" s="24" t="n">
        <x:v>0.072</x:v>
      </x:c>
      <x:c r="W37" s="25" t="n">
        <x:v>106.2</x:v>
      </x:c>
      <x:c r="X37" s="22" t="n">
        <x:v>12478</x:v>
      </x:c>
      <x:c r="Y37" s="25" t="n">
        <x:f>IF(ISNUMBER(X37),X37/1024,X37)</x:f>
        <x:v>12.185546875</x:v>
      </x:c>
      <x:c r="Z37" s="25" t="n">
        <x:v>24.047252655029297</x:v>
      </x:c>
      <x:c r="AA37" s="25" t="n">
        <x:v>11.277914802543819</x:v>
      </x:c>
      <x:c r="AB37" s="73" t="str">
        <x:v>Q8_0</x:v>
      </x:c>
      <x:c r="AC37" s="20" t="str">
        <x:v>max</x:v>
      </x:c>
      <x:c r="AD37" s="20" t="str">
        <x:v>UNKNOWN</x:v>
      </x:c>
      <x:c r="AE37" s="22" t="n">
        <x:v>4096</x:v>
      </x:c>
      <x:c r="AF37" s="22" t="n">
        <x:v>1</x:v>
      </x:c>
      <x:c r="AG37" s="19" t="str">
        <x:v>UNKNOWN</x:v>
      </x:c>
      <x:c r="AH37" s="22" t="str">
        <x:v>UNKNOWN</x:v>
      </x:c>
      <x:c r="AI37" s="22" t="str">
        <x:v>UNKNOWN</x:v>
      </x:c>
      <x:c r="AJ37" s="24" t="str">
        <x:v>UNKNOWN</x:v>
      </x:c>
      <x:c r="AK37" s="20" t="str">
        <x:v>UNKNOWN</x:v>
      </x:c>
      <x:c r="AL37" s="20" t="str">
        <x:v>20261001_173130Z_dc97b1d6_cli/gpt-oss-20b</x:v>
      </x:c>
      <x:c r="AM37" s="28"/>
      <x:c r="AN37" s="28" t="str">
        <x:v>results/20261001_173130Z_dc97b1d6_cli/gpt-oss-20b_raw.jsonl</x:v>
      </x:c>
      <x:c r="AP37" s="31" t="str">
        <x:v>Historical CLI controls UNKNOWN. Repeated DEV observations; excluded from API quality selection.</x:v>
      </x:c>
    </x:row>
    <x:row r="38" ht="46" customHeight="1">
      <x:c r="A38" s="21" t="str">
        <x:v>Historical CLI DEV</x:v>
      </x:c>
      <x:c r="B38" s="21" t="str">
        <x:v>gpt-oss-20b</x:v>
      </x:c>
      <x:c r="C38" s="21" t="str">
        <x:v>20261001_174226Z_192df863_cli</x:v>
      </x:c>
      <x:c r="D38" s="21" t="str">
        <x:v>custom_dev</x:v>
      </x:c>
      <x:c r="E38" s="21" t="str">
        <x:v>SAVED</x:v>
      </x:c>
      <x:c r="F38" s="22" t="n">
        <x:v>12</x:v>
      </x:c>
      <x:c r="G38" s="22" t="n">
        <x:v>6</x:v>
      </x:c>
      <x:c r="H38" s="23" t="n">
        <x:f>IF(F38=0,"NOT RUN",G38/F38)</x:f>
        <x:v>0.5</x:v>
      </x:c>
      <x:c r="I38" s="22" t="n">
        <x:v>2</x:v>
      </x:c>
      <x:c r="J38" s="22" t="n">
        <x:v>5282</x:v>
      </x:c>
      <x:c r="K38" s="22" t="n">
        <x:v>1784</x:v>
      </x:c>
      <x:c r="L38" s="22" t="str">
        <x:v>UNKNOWN</x:v>
      </x:c>
      <x:c r="M38" s="22" t="n">
        <x:v>10</x:v>
      </x:c>
      <x:c r="N38" s="22" t="n">
        <x:v>10</x:v>
      </x:c>
      <x:c r="O38" s="22" t="n">
        <x:v>0</x:v>
      </x:c>
      <x:c r="P38" s="24" t="n">
        <x:v>2.1251368583333865</x:v>
      </x:c>
      <x:c r="Q38" s="24" t="n">
        <x:v>2.168192900000122</x:v>
      </x:c>
      <x:c r="R38" s="24" t="n">
        <x:v>2.9067513700002108</x:v>
      </x:c>
      <x:c r="S38" s="24" t="str">
        <x:v>UNKNOWN</x:v>
      </x:c>
      <x:c r="T38" s="24" t="str">
        <x:v>UNKNOWN</x:v>
      </x:c>
      <x:c r="U38" s="25" t="str">
        <x:v>UNKNOWN</x:v>
      </x:c>
      <x:c r="V38" s="24" t="n">
        <x:v>0.0785</x:v>
      </x:c>
      <x:c r="W38" s="25" t="n">
        <x:v>105.86</x:v>
      </x:c>
      <x:c r="X38" s="22" t="n">
        <x:v>12405</x:v>
      </x:c>
      <x:c r="Y38" s="25" t="n">
        <x:f>IF(ISNUMBER(X38),X38/1024,X38)</x:f>
        <x:v>12.1142578125</x:v>
      </x:c>
      <x:c r="Z38" s="25" t="n">
        <x:v>24.08212661743164</x:v>
      </x:c>
      <x:c r="AA38" s="25" t="n">
        <x:v>11.277914802543819</x:v>
      </x:c>
      <x:c r="AB38" s="73" t="str">
        <x:v>Q8_0</x:v>
      </x:c>
      <x:c r="AC38" s="20" t="str">
        <x:v>max</x:v>
      </x:c>
      <x:c r="AD38" s="20" t="str">
        <x:v>UNKNOWN</x:v>
      </x:c>
      <x:c r="AE38" s="22" t="n">
        <x:v>4096</x:v>
      </x:c>
      <x:c r="AF38" s="22" t="n">
        <x:v>1</x:v>
      </x:c>
      <x:c r="AG38" s="19" t="str">
        <x:v>UNKNOWN</x:v>
      </x:c>
      <x:c r="AH38" s="22" t="str">
        <x:v>UNKNOWN</x:v>
      </x:c>
      <x:c r="AI38" s="22" t="str">
        <x:v>UNKNOWN</x:v>
      </x:c>
      <x:c r="AJ38" s="24" t="str">
        <x:v>UNKNOWN</x:v>
      </x:c>
      <x:c r="AK38" s="20" t="str">
        <x:v>UNKNOWN</x:v>
      </x:c>
      <x:c r="AL38" s="20" t="str">
        <x:v>20261001_174226Z_192df863_cli/gpt-oss-20b</x:v>
      </x:c>
      <x:c r="AM38" s="28"/>
      <x:c r="AN38" s="28" t="str">
        <x:v>results/20261001_174226Z_192df863_cli/gpt-oss-20b_raw.jsonl</x:v>
      </x:c>
      <x:c r="AP38" s="31" t="str">
        <x:v>Historical CLI controls UNKNOWN. Repeated DEV observations; excluded from API quality selection.</x:v>
      </x:c>
    </x:row>
    <x:row r="39" ht="46" customHeight="1">
      <x:c r="A39" s="21" t="str">
        <x:v>Historical CLI DEV</x:v>
      </x:c>
      <x:c r="B39" s="21" t="str">
        <x:v>minicpm5-1b</x:v>
      </x:c>
      <x:c r="C39" s="21" t="str">
        <x:v>20261001_180022Z_4c3f0d40_cli</x:v>
      </x:c>
      <x:c r="D39" s="21" t="str">
        <x:v>old_dev</x:v>
      </x:c>
      <x:c r="E39" s="21" t="str">
        <x:v>EARLY_STOP</x:v>
      </x:c>
      <x:c r="F39" s="22" t="n">
        <x:v>7</x:v>
      </x:c>
      <x:c r="G39" s="22" t="n">
        <x:v>0</x:v>
      </x:c>
      <x:c r="H39" s="23" t="n">
        <x:f>IF(F39=0,"NOT RUN",G39/F39)</x:f>
        <x:v>0</x:v>
      </x:c>
      <x:c r="I39" s="22" t="n">
        <x:v>4</x:v>
      </x:c>
      <x:c r="J39" s="22" t="n">
        <x:v>3195</x:v>
      </x:c>
      <x:c r="K39" s="22" t="n">
        <x:v>315</x:v>
      </x:c>
      <x:c r="L39" s="22" t="str">
        <x:v>UNKNOWN</x:v>
      </x:c>
      <x:c r="M39" s="22" t="n">
        <x:v>7</x:v>
      </x:c>
      <x:c r="N39" s="22" t="n">
        <x:v>7</x:v>
      </x:c>
      <x:c r="O39" s="22" t="n">
        <x:v>0</x:v>
      </x:c>
      <x:c r="P39" s="24" t="n">
        <x:v>0.4723459285714853</x:v>
      </x:c>
      <x:c r="Q39" s="24" t="n">
        <x:v>0.4055596999996851</x:v>
      </x:c>
      <x:c r="R39" s="24" t="n">
        <x:v>0.7239425700001445</x:v>
      </x:c>
      <x:c r="S39" s="24" t="str">
        <x:v>UNKNOWN</x:v>
      </x:c>
      <x:c r="T39" s="24" t="str">
        <x:v>UNKNOWN</x:v>
      </x:c>
      <x:c r="U39" s="25" t="str">
        <x:v>UNKNOWN</x:v>
      </x:c>
      <x:c r="V39" s="24" t="n">
        <x:v>0.011</x:v>
      </x:c>
      <x:c r="W39" s="25" t="n">
        <x:v>249.78</x:v>
      </x:c>
      <x:c r="X39" s="22" t="n">
        <x:v>2241</x:v>
      </x:c>
      <x:c r="Y39" s="25" t="n">
        <x:f>IF(ISNUMBER(X39),X39/1024,X39)</x:f>
        <x:v>2.1884765625</x:v>
      </x:c>
      <x:c r="Z39" s="25" t="n">
        <x:v>12.56277084350586</x:v>
      </x:c>
      <x:c r="AA39" s="25" t="n">
        <x:v>1.0743077993392944</x:v>
      </x:c>
      <x:c r="AB39" s="73" t="str">
        <x:v>Q8_0</x:v>
      </x:c>
      <x:c r="AC39" s="20" t="str">
        <x:v>max</x:v>
      </x:c>
      <x:c r="AD39" s="20" t="str">
        <x:v>UNKNOWN</x:v>
      </x:c>
      <x:c r="AE39" s="22" t="n">
        <x:v>4096</x:v>
      </x:c>
      <x:c r="AF39" s="22" t="n">
        <x:v>1</x:v>
      </x:c>
      <x:c r="AG39" s="19" t="str">
        <x:v>UNKNOWN</x:v>
      </x:c>
      <x:c r="AH39" s="22" t="str">
        <x:v>UNKNOWN</x:v>
      </x:c>
      <x:c r="AI39" s="22" t="str">
        <x:v>UNKNOWN</x:v>
      </x:c>
      <x:c r="AJ39" s="24" t="str">
        <x:v>UNKNOWN</x:v>
      </x:c>
      <x:c r="AK39" s="20" t="str">
        <x:v>UNKNOWN</x:v>
      </x:c>
      <x:c r="AL39" s="20" t="str">
        <x:v>20261001_180022Z_4c3f0d40_cli/minicpm5-1b</x:v>
      </x:c>
      <x:c r="AM39" s="28"/>
      <x:c r="AN39" s="28" t="str">
        <x:v>results/20261001_180022Z_4c3f0d40_cli/minicpm5-1b_raw.jsonl</x:v>
      </x:c>
      <x:c r="AP39" s="31" t="str">
        <x:v>Historical CLI controls UNKNOWN. Repeated DEV observations; excluded from API quality selection.</x:v>
      </x:c>
    </x:row>
    <x:row r="40" ht="46" customHeight="1">
      <x:c r="A40" s="21" t="str">
        <x:v>Historical CLI DEV</x:v>
      </x:c>
      <x:c r="B40" s="21" t="str">
        <x:v>webworld-8b-i1</x:v>
      </x:c>
      <x:c r="C40" s="21" t="str">
        <x:v>20261001_180022Z_4c3f0d40_cli</x:v>
      </x:c>
      <x:c r="D40" s="21" t="str">
        <x:v>old_dev</x:v>
      </x:c>
      <x:c r="E40" s="21" t="str">
        <x:v>EARLY_STOP</x:v>
      </x:c>
      <x:c r="F40" s="22" t="n">
        <x:v>10</x:v>
      </x:c>
      <x:c r="G40" s="22" t="n">
        <x:v>2</x:v>
      </x:c>
      <x:c r="H40" s="23" t="n">
        <x:f>IF(F40=0,"NOT RUN",G40/F40)</x:f>
        <x:v>0.2</x:v>
      </x:c>
      <x:c r="I40" s="22" t="n">
        <x:v>4</x:v>
      </x:c>
      <x:c r="J40" s="22" t="n">
        <x:v>4664</x:v>
      </x:c>
      <x:c r="K40" s="22" t="n">
        <x:v>1181</x:v>
      </x:c>
      <x:c r="L40" s="22" t="str">
        <x:v>UNKNOWN</x:v>
      </x:c>
      <x:c r="M40" s="22" t="n">
        <x:v>10</x:v>
      </x:c>
      <x:c r="N40" s="22" t="n">
        <x:v>10</x:v>
      </x:c>
      <x:c r="O40" s="22" t="n">
        <x:v>0</x:v>
      </x:c>
      <x:c r="P40" s="24" t="n">
        <x:v>2.464915590000055</x:v>
      </x:c>
      <x:c r="Q40" s="24" t="n">
        <x:v>1.756168500000058</x:v>
      </x:c>
      <x:c r="R40" s="24" t="n">
        <x:v>5.413884925000228</x:v>
      </x:c>
      <x:c r="S40" s="24" t="str">
        <x:v>UNKNOWN</x:v>
      </x:c>
      <x:c r="T40" s="24" t="str">
        <x:v>UNKNOWN</x:v>
      </x:c>
      <x:c r="U40" s="25" t="str">
        <x:v>UNKNOWN</x:v>
      </x:c>
      <x:c r="V40" s="24" t="n">
        <x:v>0.044</x:v>
      </x:c>
      <x:c r="W40" s="25" t="n">
        <x:v>55.805</x:v>
      </x:c>
      <x:c r="X40" s="22" t="n">
        <x:v>7810</x:v>
      </x:c>
      <x:c r="Y40" s="25" t="n">
        <x:f>IF(ISNUMBER(X40),X40/1024,X40)</x:f>
        <x:v>7.626953125</x:v>
      </x:c>
      <x:c r="Z40" s="25" t="n">
        <x:v>17.347034454345703</x:v>
      </x:c>
      <x:c r="AA40" s="25" t="n">
        <x:v>6.263983190059662</x:v>
      </x:c>
      <x:c r="AB40" s="73" t="str">
        <x:v>Q6_K</x:v>
      </x:c>
      <x:c r="AC40" s="20" t="str">
        <x:v>max</x:v>
      </x:c>
      <x:c r="AD40" s="20" t="str">
        <x:v>UNKNOWN</x:v>
      </x:c>
      <x:c r="AE40" s="22" t="n">
        <x:v>4096</x:v>
      </x:c>
      <x:c r="AF40" s="22" t="n">
        <x:v>1</x:v>
      </x:c>
      <x:c r="AG40" s="19" t="str">
        <x:v>UNKNOWN</x:v>
      </x:c>
      <x:c r="AH40" s="22" t="str">
        <x:v>UNKNOWN</x:v>
      </x:c>
      <x:c r="AI40" s="22" t="str">
        <x:v>UNKNOWN</x:v>
      </x:c>
      <x:c r="AJ40" s="24" t="str">
        <x:v>UNKNOWN</x:v>
      </x:c>
      <x:c r="AK40" s="20" t="str">
        <x:v>UNKNOWN</x:v>
      </x:c>
      <x:c r="AL40" s="20" t="str">
        <x:v>20261001_180022Z_4c3f0d40_cli/webworld-8b-i1</x:v>
      </x:c>
      <x:c r="AM40" s="28"/>
      <x:c r="AN40" s="28" t="str">
        <x:v>results/20261001_180022Z_4c3f0d40_cli/webworld-8b-i1_raw.jsonl</x:v>
      </x:c>
      <x:c r="AP40" s="31" t="str">
        <x:v>Historical CLI controls UNKNOWN. Repeated DEV observations; excluded from API quality selection.</x:v>
      </x:c>
    </x:row>
    <x:row r="41" ht="46" customHeight="1">
      <x:c r="A41" s="21" t="str">
        <x:v>Historical CLI DEV</x:v>
      </x:c>
      <x:c r="B41" s="21" t="str">
        <x:v>granite-4.1-8b</x:v>
      </x:c>
      <x:c r="C41" s="21" t="str">
        <x:v>20261001_180022Z_4c3f0d40_cli</x:v>
      </x:c>
      <x:c r="D41" s="21" t="str">
        <x:v>old_dev</x:v>
      </x:c>
      <x:c r="E41" s="21" t="str">
        <x:v>EARLY_STOP</x:v>
      </x:c>
      <x:c r="F41" s="22" t="n">
        <x:v>6</x:v>
      </x:c>
      <x:c r="G41" s="22" t="n">
        <x:v>2</x:v>
      </x:c>
      <x:c r="H41" s="23" t="n">
        <x:f>IF(F41=0,"NOT RUN",G41/F41)</x:f>
        <x:v>0.3333333333333333</x:v>
      </x:c>
      <x:c r="I41" s="22" t="n">
        <x:v>4</x:v>
      </x:c>
      <x:c r="J41" s="22" t="n">
        <x:v>2708</x:v>
      </x:c>
      <x:c r="K41" s="22" t="n">
        <x:v>2053</x:v>
      </x:c>
      <x:c r="L41" s="22" t="str">
        <x:v>UNKNOWN</x:v>
      </x:c>
      <x:c r="M41" s="22" t="n">
        <x:v>6</x:v>
      </x:c>
      <x:c r="N41" s="22" t="n">
        <x:v>6</x:v>
      </x:c>
      <x:c r="O41" s="22" t="n">
        <x:v>0</x:v>
      </x:c>
      <x:c r="P41" s="24" t="n">
        <x:v>5.714555416666674</x:v>
      </x:c>
      <x:c r="Q41" s="24" t="n">
        <x:v>6.4512495499998295</x:v>
      </x:c>
      <x:c r="R41" s="24" t="n">
        <x:v>9.96037592499988</x:v>
      </x:c>
      <x:c r="S41" s="24" t="str">
        <x:v>UNKNOWN</x:v>
      </x:c>
      <x:c r="T41" s="24" t="str">
        <x:v>UNKNOWN</x:v>
      </x:c>
      <x:c r="U41" s="25" t="str">
        <x:v>UNKNOWN</x:v>
      </x:c>
      <x:c r="V41" s="24" t="n">
        <x:v>0.044</x:v>
      </x:c>
      <x:c r="W41" s="25" t="n">
        <x:v>64.135</x:v>
      </x:c>
      <x:c r="X41" s="22" t="n">
        <x:v>6834</x:v>
      </x:c>
      <x:c r="Y41" s="25" t="n">
        <x:f>IF(ISNUMBER(X41),X41/1024,X41)</x:f>
        <x:v>6.673828125</x:v>
      </x:c>
      <x:c r="Z41" s="25" t="n">
        <x:v>16.28213882446289</x:v>
      </x:c>
      <x:c r="AA41" s="25" t="n">
        <x:v>4.980634093284607</x:v>
      </x:c>
      <x:c r="AB41" s="73" t="str">
        <x:v>Q4_K_M</x:v>
      </x:c>
      <x:c r="AC41" s="20" t="str">
        <x:v>max</x:v>
      </x:c>
      <x:c r="AD41" s="20" t="str">
        <x:v>UNKNOWN</x:v>
      </x:c>
      <x:c r="AE41" s="22" t="n">
        <x:v>4096</x:v>
      </x:c>
      <x:c r="AF41" s="22" t="n">
        <x:v>1</x:v>
      </x:c>
      <x:c r="AG41" s="19" t="str">
        <x:v>UNKNOWN</x:v>
      </x:c>
      <x:c r="AH41" s="22" t="str">
        <x:v>UNKNOWN</x:v>
      </x:c>
      <x:c r="AI41" s="22" t="str">
        <x:v>UNKNOWN</x:v>
      </x:c>
      <x:c r="AJ41" s="24" t="str">
        <x:v>UNKNOWN</x:v>
      </x:c>
      <x:c r="AK41" s="20" t="str">
        <x:v>UNKNOWN</x:v>
      </x:c>
      <x:c r="AL41" s="20" t="str">
        <x:v>20261001_180022Z_4c3f0d40_cli/granite-4.1-8b</x:v>
      </x:c>
      <x:c r="AM41" s="28"/>
      <x:c r="AN41" s="28" t="str">
        <x:v>results/20261001_180022Z_4c3f0d40_cli/granite-4.1-8b_raw.jsonl</x:v>
      </x:c>
      <x:c r="AP41" s="31" t="str">
        <x:v>Historical CLI controls UNKNOWN. Repeated DEV observations; excluded from API quality selection.</x:v>
      </x:c>
    </x:row>
    <x:row r="42" ht="46" customHeight="1">
      <x:c r="A42" s="21" t="str">
        <x:v>Historical CLI DEV</x:v>
      </x:c>
      <x:c r="B42" s="21" t="str">
        <x:v>dr-venus-4b-rl</x:v>
      </x:c>
      <x:c r="C42" s="21" t="str">
        <x:v>20261001_180022Z_4c3f0d40_cli</x:v>
      </x:c>
      <x:c r="D42" s="21" t="str">
        <x:v>old_dev</x:v>
      </x:c>
      <x:c r="E42" s="21" t="str">
        <x:v>SAVED</x:v>
      </x:c>
      <x:c r="F42" s="22" t="n">
        <x:v>12</x:v>
      </x:c>
      <x:c r="G42" s="22" t="n">
        <x:v>6</x:v>
      </x:c>
      <x:c r="H42" s="23" t="n">
        <x:f>IF(F42=0,"NOT RUN",G42/F42)</x:f>
        <x:v>0.5</x:v>
      </x:c>
      <x:c r="I42" s="22" t="n">
        <x:v>2</x:v>
      </x:c>
      <x:c r="J42" s="22" t="n">
        <x:v>5474</x:v>
      </x:c>
      <x:c r="K42" s="22" t="n">
        <x:v>10449</x:v>
      </x:c>
      <x:c r="L42" s="22" t="str">
        <x:v>UNKNOWN</x:v>
      </x:c>
      <x:c r="M42" s="22" t="n">
        <x:v>12</x:v>
      </x:c>
      <x:c r="N42" s="22" t="n">
        <x:v>12</x:v>
      </x:c>
      <x:c r="O42" s="22" t="n">
        <x:v>0</x:v>
      </x:c>
      <x:c r="P42" s="24" t="n">
        <x:v>9.249295591666547</x:v>
      </x:c>
      <x:c r="Q42" s="24" t="n">
        <x:v>6.282724749999943</x:v>
      </x:c>
      <x:c r="R42" s="24" t="n">
        <x:v>23.025593920000112</x:v>
      </x:c>
      <x:c r="S42" s="24" t="str">
        <x:v>UNKNOWN</x:v>
      </x:c>
      <x:c r="T42" s="24" t="str">
        <x:v>UNKNOWN</x:v>
      </x:c>
      <x:c r="U42" s="25" t="str">
        <x:v>UNKNOWN</x:v>
      </x:c>
      <x:c r="V42" s="24" t="n">
        <x:v>0.026000000000000002</x:v>
      </x:c>
      <x:c r="W42" s="25" t="n">
        <x:v>99.19999999999999</x:v>
      </x:c>
      <x:c r="X42" s="22" t="n">
        <x:v>4297</x:v>
      </x:c>
      <x:c r="Y42" s="25" t="n">
        <x:f>IF(ISNUMBER(X42),X42/1024,X42)</x:f>
        <x:v>4.1962890625</x:v>
      </x:c>
      <x:c r="Z42" s="25" t="n">
        <x:v>16.085159301757812</x:v>
      </x:c>
      <x:c r="AA42" s="25" t="n">
        <x:v>2.5295353829860687</x:v>
      </x:c>
      <x:c r="AB42" s="73" t="str">
        <x:v>Q4_K_M</x:v>
      </x:c>
      <x:c r="AC42" s="20" t="str">
        <x:v>max</x:v>
      </x:c>
      <x:c r="AD42" s="20" t="str">
        <x:v>UNKNOWN</x:v>
      </x:c>
      <x:c r="AE42" s="22" t="n">
        <x:v>4096</x:v>
      </x:c>
      <x:c r="AF42" s="22" t="n">
        <x:v>1</x:v>
      </x:c>
      <x:c r="AG42" s="19" t="str">
        <x:v>UNKNOWN</x:v>
      </x:c>
      <x:c r="AH42" s="22" t="str">
        <x:v>UNKNOWN</x:v>
      </x:c>
      <x:c r="AI42" s="22" t="str">
        <x:v>UNKNOWN</x:v>
      </x:c>
      <x:c r="AJ42" s="24" t="str">
        <x:v>UNKNOWN</x:v>
      </x:c>
      <x:c r="AK42" s="20" t="str">
        <x:v>UNKNOWN</x:v>
      </x:c>
      <x:c r="AL42" s="20" t="str">
        <x:v>20261001_180022Z_4c3f0d40_cli/dr-venus-4b-rl</x:v>
      </x:c>
      <x:c r="AM42" s="28"/>
      <x:c r="AN42" s="28" t="str">
        <x:v>results/20261001_180022Z_4c3f0d40_cli/dr-venus-4b-rl_raw.jsonl</x:v>
      </x:c>
      <x:c r="AP42" s="31" t="str">
        <x:v>Historical CLI controls UNKNOWN. Repeated DEV observations; excluded from API quality selection.</x:v>
      </x:c>
    </x:row>
    <x:row r="43" ht="46" customHeight="1">
      <x:c r="A43" s="21" t="str">
        <x:v>Historical CLI DEV</x:v>
      </x:c>
      <x:c r="B43" s="21" t="str">
        <x:v>qwen3-vl-8b-instruct</x:v>
      </x:c>
      <x:c r="C43" s="21" t="str">
        <x:v>20261001_180022Z_4c3f0d40_cli</x:v>
      </x:c>
      <x:c r="D43" s="21" t="str">
        <x:v>old_dev</x:v>
      </x:c>
      <x:c r="E43" s="21" t="str">
        <x:v>SAVED</x:v>
      </x:c>
      <x:c r="F43" s="22" t="n">
        <x:v>12</x:v>
      </x:c>
      <x:c r="G43" s="22" t="n">
        <x:v>4</x:v>
      </x:c>
      <x:c r="H43" s="23" t="n">
        <x:f>IF(F43=0,"NOT RUN",G43/F43)</x:f>
        <x:v>0.3333333333333333</x:v>
      </x:c>
      <x:c r="I43" s="22" t="n">
        <x:v>2</x:v>
      </x:c>
      <x:c r="J43" s="22" t="n">
        <x:v>5450</x:v>
      </x:c>
      <x:c r="K43" s="22" t="n">
        <x:v>315</x:v>
      </x:c>
      <x:c r="L43" s="22" t="str">
        <x:v>UNKNOWN</x:v>
      </x:c>
      <x:c r="M43" s="22" t="n">
        <x:v>12</x:v>
      </x:c>
      <x:c r="N43" s="22" t="n">
        <x:v>12</x:v>
      </x:c>
      <x:c r="O43" s="22" t="n">
        <x:v>0</x:v>
      </x:c>
      <x:c r="P43" s="24" t="n">
        <x:v>0.9284725250001884</x:v>
      </x:c>
      <x:c r="Q43" s="24" t="n">
        <x:v>0.9643078000003698</x:v>
      </x:c>
      <x:c r="R43" s="24" t="n">
        <x:v>1.0362890549998611</x:v>
      </x:c>
      <x:c r="S43" s="24" t="str">
        <x:v>UNKNOWN</x:v>
      </x:c>
      <x:c r="T43" s="24" t="str">
        <x:v>UNKNOWN</x:v>
      </x:c>
      <x:c r="U43" s="25" t="str">
        <x:v>UNKNOWN</x:v>
      </x:c>
      <x:c r="V43" s="24" t="n">
        <x:v>0.0405</x:v>
      </x:c>
      <x:c r="W43" s="25" t="n">
        <x:v>44.025</x:v>
      </x:c>
      <x:c r="X43" s="22" t="n">
        <x:v>11058</x:v>
      </x:c>
      <x:c r="Y43" s="25" t="n">
        <x:f>IF(ISNUMBER(X43),X43/1024,X43)</x:f>
        <x:v>10.798828125</x:v>
      </x:c>
      <x:c r="Z43" s="25" t="n">
        <x:v>19.6253662109375</x:v>
      </x:c>
      <x:c r="AA43" s="25" t="n">
        <x:v>9.190802723169327</x:v>
      </x:c>
      <x:c r="AB43" s="73" t="str">
        <x:v>Q8_0</x:v>
      </x:c>
      <x:c r="AC43" s="20" t="str">
        <x:v>max</x:v>
      </x:c>
      <x:c r="AD43" s="20" t="str">
        <x:v>UNKNOWN</x:v>
      </x:c>
      <x:c r="AE43" s="22" t="n">
        <x:v>4096</x:v>
      </x:c>
      <x:c r="AF43" s="22" t="n">
        <x:v>1</x:v>
      </x:c>
      <x:c r="AG43" s="19" t="str">
        <x:v>UNKNOWN</x:v>
      </x:c>
      <x:c r="AH43" s="22" t="str">
        <x:v>UNKNOWN</x:v>
      </x:c>
      <x:c r="AI43" s="22" t="str">
        <x:v>UNKNOWN</x:v>
      </x:c>
      <x:c r="AJ43" s="24" t="str">
        <x:v>UNKNOWN</x:v>
      </x:c>
      <x:c r="AK43" s="20" t="str">
        <x:v>UNKNOWN</x:v>
      </x:c>
      <x:c r="AL43" s="20" t="str">
        <x:v>20261001_180022Z_4c3f0d40_cli/qwen3-vl-8b-instruct</x:v>
      </x:c>
      <x:c r="AM43" s="28"/>
      <x:c r="AN43" s="28" t="str">
        <x:v>results/20261001_180022Z_4c3f0d40_cli/qwen3-vl-8b-instruct_raw.jsonl</x:v>
      </x:c>
      <x:c r="AP43" s="31" t="str">
        <x:v>Historical CLI controls UNKNOWN. Repeated DEV observations; excluded from API quality selection.</x:v>
      </x:c>
    </x:row>
    <x:row r="44" ht="46" customHeight="1">
      <x:c r="A44" s="21" t="str">
        <x:v>Historical CLI DEV</x:v>
      </x:c>
      <x:c r="B44" s="21" t="str">
        <x:v>qwen3-8b-deepseek-v3.2-speciale-distill</x:v>
      </x:c>
      <x:c r="C44" s="21" t="str">
        <x:v>20261001_180022Z_4c3f0d40_cli</x:v>
      </x:c>
      <x:c r="D44" s="21" t="str">
        <x:v>old_dev</x:v>
      </x:c>
      <x:c r="E44" s="21" t="str">
        <x:v>EARLY_STOP</x:v>
      </x:c>
      <x:c r="F44" s="22" t="n">
        <x:v>9</x:v>
      </x:c>
      <x:c r="G44" s="22" t="n">
        <x:v>5</x:v>
      </x:c>
      <x:c r="H44" s="23" t="n">
        <x:f>IF(F44=0,"NOT RUN",G44/F44)</x:f>
        <x:v>0.5555555555555556</x:v>
      </x:c>
      <x:c r="I44" s="22" t="n">
        <x:v>4</x:v>
      </x:c>
      <x:c r="J44" s="22" t="n">
        <x:v>4231</x:v>
      </x:c>
      <x:c r="K44" s="22" t="n">
        <x:v>127</x:v>
      </x:c>
      <x:c r="L44" s="22" t="str">
        <x:v>UNKNOWN</x:v>
      </x:c>
      <x:c r="M44" s="22" t="n">
        <x:v>9</x:v>
      </x:c>
      <x:c r="N44" s="22" t="n">
        <x:v>9</x:v>
      </x:c>
      <x:c r="O44" s="22" t="n">
        <x:v>0</x:v>
      </x:c>
      <x:c r="P44" s="24" t="n">
        <x:v>0.9498198111110064</x:v>
      </x:c>
      <x:c r="Q44" s="24" t="n">
        <x:v>0.6424010999999155</x:v>
      </x:c>
      <x:c r="R44" s="24" t="n">
        <x:v>2.351787419999709</x:v>
      </x:c>
      <x:c r="S44" s="24" t="str">
        <x:v>UNKNOWN</x:v>
      </x:c>
      <x:c r="T44" s="24" t="str">
        <x:v>UNKNOWN</x:v>
      </x:c>
      <x:c r="U44" s="25" t="str">
        <x:v>UNKNOWN</x:v>
      </x:c>
      <x:c r="V44" s="24" t="n">
        <x:v>0.039</x:v>
      </x:c>
      <x:c r="W44" s="25" t="n">
        <x:v>66.74</x:v>
      </x:c>
      <x:c r="X44" s="22" t="n">
        <x:v>6343</x:v>
      </x:c>
      <x:c r="Y44" s="25" t="n">
        <x:f>IF(ISNUMBER(X44),X44/1024,X44)</x:f>
        <x:v>6.1943359375</x:v>
      </x:c>
      <x:c r="Z44" s="25" t="n">
        <x:v>16.442611694335938</x:v>
      </x:c>
      <x:c r="AA44" s="25" t="n">
        <x:v>4.682491015642881</x:v>
      </x:c>
      <x:c r="AB44" s="73" t="str">
        <x:v>Q4_K_M</x:v>
      </x:c>
      <x:c r="AC44" s="20" t="str">
        <x:v>max</x:v>
      </x:c>
      <x:c r="AD44" s="20" t="str">
        <x:v>UNKNOWN</x:v>
      </x:c>
      <x:c r="AE44" s="22" t="n">
        <x:v>4096</x:v>
      </x:c>
      <x:c r="AF44" s="22" t="n">
        <x:v>1</x:v>
      </x:c>
      <x:c r="AG44" s="19" t="str">
        <x:v>UNKNOWN</x:v>
      </x:c>
      <x:c r="AH44" s="22" t="str">
        <x:v>UNKNOWN</x:v>
      </x:c>
      <x:c r="AI44" s="22" t="str">
        <x:v>UNKNOWN</x:v>
      </x:c>
      <x:c r="AJ44" s="24" t="str">
        <x:v>UNKNOWN</x:v>
      </x:c>
      <x:c r="AK44" s="20" t="str">
        <x:v>UNKNOWN</x:v>
      </x:c>
      <x:c r="AL44" s="20" t="str">
        <x:v>20261001_180022Z_4c3f0d40_cli/qwen3-8b-deepseek-v3.2-speciale-distill</x:v>
      </x:c>
      <x:c r="AM44" s="28"/>
      <x:c r="AN44" s="28" t="str">
        <x:v>results/20261001_180022Z_4c3f0d40_cli/qwen3-8b-deepseek-v3.2-speciale-distill_raw.jsonl</x:v>
      </x:c>
      <x:c r="AP44" s="31" t="str">
        <x:v>Historical CLI controls UNKNOWN. Repeated DEV observations; excluded from API quality selection.</x:v>
      </x:c>
    </x:row>
    <x:row r="45" ht="46" customHeight="1">
      <x:c r="A45" s="21" t="str">
        <x:v>Historical CLI DEV</x:v>
      </x:c>
      <x:c r="B45" s="21" t="str">
        <x:v>gemma-4-26b-a4b-it</x:v>
      </x:c>
      <x:c r="C45" s="21" t="str">
        <x:v>20261001_180022Z_4c3f0d40_cli</x:v>
      </x:c>
      <x:c r="D45" s="21" t="str">
        <x:v>old_dev</x:v>
      </x:c>
      <x:c r="E45" s="21" t="str">
        <x:v>SAVED</x:v>
      </x:c>
      <x:c r="F45" s="22" t="n">
        <x:v>12</x:v>
      </x:c>
      <x:c r="G45" s="22" t="n">
        <x:v>9</x:v>
      </x:c>
      <x:c r="H45" s="23" t="n">
        <x:f>IF(F45=0,"NOT RUN",G45/F45)</x:f>
        <x:v>0.75</x:v>
      </x:c>
      <x:c r="I45" s="22" t="n">
        <x:v>0</x:v>
      </x:c>
      <x:c r="J45" s="22" t="n">
        <x:v>5764</x:v>
      </x:c>
      <x:c r="K45" s="22" t="n">
        <x:v>348</x:v>
      </x:c>
      <x:c r="L45" s="22" t="str">
        <x:v>UNKNOWN</x:v>
      </x:c>
      <x:c r="M45" s="22" t="n">
        <x:v>12</x:v>
      </x:c>
      <x:c r="N45" s="22" t="n">
        <x:v>12</x:v>
      </x:c>
      <x:c r="O45" s="22" t="n">
        <x:v>0</x:v>
      </x:c>
      <x:c r="P45" s="24" t="n">
        <x:v>1.693799199999982</x:v>
      </x:c>
      <x:c r="Q45" s="24" t="n">
        <x:v>1.6155929999999898</x:v>
      </x:c>
      <x:c r="R45" s="24" t="n">
        <x:v>2.129324650000171</x:v>
      </x:c>
      <x:c r="S45" s="24" t="str">
        <x:v>UNKNOWN</x:v>
      </x:c>
      <x:c r="T45" s="24" t="str">
        <x:v>UNKNOWN</x:v>
      </x:c>
      <x:c r="U45" s="25" t="str">
        <x:v>UNKNOWN</x:v>
      </x:c>
      <x:c r="V45" s="24" t="n">
        <x:v>0.464</x:v>
      </x:c>
      <x:c r="W45" s="25" t="n">
        <x:v>33.42</x:v>
      </x:c>
      <x:c r="X45" s="22" t="n">
        <x:v>13991</x:v>
      </x:c>
      <x:c r="Y45" s="25" t="n">
        <x:f>IF(ISNUMBER(X45),X45/1024,X45)</x:f>
        <x:v>13.6630859375</x:v>
      </x:c>
      <x:c r="Z45" s="25" t="n">
        <x:v>26.787128448486328</x:v>
      </x:c>
      <x:c r="AA45" s="25" t="n">
        <x:v>15.690822293050587</x:v>
      </x:c>
      <x:c r="AB45" s="73" t="str">
        <x:v>IQ4_NL_XL</x:v>
      </x:c>
      <x:c r="AC45" s="20" t="str">
        <x:v>0.70</x:v>
      </x:c>
      <x:c r="AD45" s="20" t="str">
        <x:v>UNKNOWN</x:v>
      </x:c>
      <x:c r="AE45" s="22" t="n">
        <x:v>4096</x:v>
      </x:c>
      <x:c r="AF45" s="22" t="n">
        <x:v>1</x:v>
      </x:c>
      <x:c r="AG45" s="19" t="str">
        <x:v>UNKNOWN</x:v>
      </x:c>
      <x:c r="AH45" s="22" t="str">
        <x:v>UNKNOWN</x:v>
      </x:c>
      <x:c r="AI45" s="22" t="str">
        <x:v>UNKNOWN</x:v>
      </x:c>
      <x:c r="AJ45" s="24" t="str">
        <x:v>UNKNOWN</x:v>
      </x:c>
      <x:c r="AK45" s="20" t="str">
        <x:v>UNKNOWN</x:v>
      </x:c>
      <x:c r="AL45" s="20" t="str">
        <x:v>20261001_180022Z_4c3f0d40_cli/gemma-4-26b-a4b-it</x:v>
      </x:c>
      <x:c r="AM45" s="28"/>
      <x:c r="AN45" s="28" t="str">
        <x:v>results/20261001_180022Z_4c3f0d40_cli/gemma-4-26b-a4b-it_raw.jsonl</x:v>
      </x:c>
      <x:c r="AP45" s="31" t="str">
        <x:v>Historical CLI controls UNKNOWN. Repeated DEV observations; excluded from API quality selection.</x:v>
      </x:c>
    </x:row>
    <x:row r="46" ht="46" customHeight="1">
      <x:c r="A46" s="21" t="str">
        <x:v>Historical CLI DEV</x:v>
      </x:c>
      <x:c r="B46" s="21" t="str">
        <x:v>qwen3-omni-30b-a3b-instruct</x:v>
      </x:c>
      <x:c r="C46" s="21" t="str">
        <x:v>20261001_180022Z_4c3f0d40_cli</x:v>
      </x:c>
      <x:c r="D46" s="21" t="str">
        <x:v>old_dev</x:v>
      </x:c>
      <x:c r="E46" s="21" t="str">
        <x:v>SAVED</x:v>
      </x:c>
      <x:c r="F46" s="22" t="n">
        <x:v>12</x:v>
      </x:c>
      <x:c r="G46" s="22" t="n">
        <x:v>5</x:v>
      </x:c>
      <x:c r="H46" s="23" t="n">
        <x:f>IF(F46=0,"NOT RUN",G46/F46)</x:f>
        <x:v>0.4166666666666667</x:v>
      </x:c>
      <x:c r="I46" s="22" t="n">
        <x:v>1</x:v>
      </x:c>
      <x:c r="J46" s="22" t="n">
        <x:v>5498</x:v>
      </x:c>
      <x:c r="K46" s="22" t="n">
        <x:v>416</x:v>
      </x:c>
      <x:c r="L46" s="22" t="str">
        <x:v>UNKNOWN</x:v>
      </x:c>
      <x:c r="M46" s="22" t="n">
        <x:v>12</x:v>
      </x:c>
      <x:c r="N46" s="22" t="n">
        <x:v>12</x:v>
      </x:c>
      <x:c r="O46" s="22" t="n">
        <x:v>0</x:v>
      </x:c>
      <x:c r="P46" s="24" t="n">
        <x:v>1.7856047333333056</x:v>
      </x:c>
      <x:c r="Q46" s="24" t="n">
        <x:v>1.7324643500001002</x:v>
      </x:c>
      <x:c r="R46" s="24" t="n">
        <x:v>2.2405316899998975</x:v>
      </x:c>
      <x:c r="S46" s="24" t="str">
        <x:v>UNKNOWN</x:v>
      </x:c>
      <x:c r="T46" s="24" t="str">
        <x:v>UNKNOWN</x:v>
      </x:c>
      <x:c r="U46" s="25" t="str">
        <x:v>UNKNOWN</x:v>
      </x:c>
      <x:c r="V46" s="24" t="n">
        <x:v>0.5265</x:v>
      </x:c>
      <x:c r="W46" s="25" t="n">
        <x:v>36.989999999999995</x:v>
      </x:c>
      <x:c r="X46" s="22" t="n">
        <x:v>14947</x:v>
      </x:c>
      <x:c r="Y46" s="25" t="n">
        <x:f>IF(ISNUMBER(X46),X46/1024,X46)</x:f>
        <x:v>14.5966796875</x:v>
      </x:c>
      <x:c r="Z46" s="25" t="n">
        <x:v>28.733558654785156</x:v>
      </x:c>
      <x:c r="AA46" s="25" t="n">
        <x:v>19.33846578001976</x:v>
      </x:c>
      <x:c r="AB46" s="73" t="str">
        <x:v>Q4_K_M</x:v>
      </x:c>
      <x:c r="AC46" s="20" t="str">
        <x:v>0.60</x:v>
      </x:c>
      <x:c r="AD46" s="20" t="str">
        <x:v>UNKNOWN</x:v>
      </x:c>
      <x:c r="AE46" s="22" t="n">
        <x:v>4096</x:v>
      </x:c>
      <x:c r="AF46" s="22" t="n">
        <x:v>1</x:v>
      </x:c>
      <x:c r="AG46" s="19" t="str">
        <x:v>UNKNOWN</x:v>
      </x:c>
      <x:c r="AH46" s="22" t="str">
        <x:v>UNKNOWN</x:v>
      </x:c>
      <x:c r="AI46" s="22" t="str">
        <x:v>UNKNOWN</x:v>
      </x:c>
      <x:c r="AJ46" s="24" t="str">
        <x:v>UNKNOWN</x:v>
      </x:c>
      <x:c r="AK46" s="20" t="str">
        <x:v>UNKNOWN</x:v>
      </x:c>
      <x:c r="AL46" s="20" t="str">
        <x:v>20261001_180022Z_4c3f0d40_cli/qwen3-omni-30b-a3b-instruct</x:v>
      </x:c>
      <x:c r="AM46" s="28"/>
      <x:c r="AN46" s="28" t="str">
        <x:v>results/20261001_180022Z_4c3f0d40_cli/qwen3-omni-30b-a3b-instruct_raw.jsonl</x:v>
      </x:c>
      <x:c r="AP46" s="31" t="str">
        <x:v>Historical CLI controls UNKNOWN. Repeated DEV observations; excluded from API quality selection.</x:v>
      </x:c>
    </x:row>
    <x:row r="47" ht="46" customHeight="1">
      <x:c r="A47" s="21" t="str">
        <x:v>Historical CLI DEV</x:v>
      </x:c>
      <x:c r="B47" s="21" t="str">
        <x:v>qwen3.6-35b-a3b-uncensored-hauhaucs-aggressive</x:v>
      </x:c>
      <x:c r="C47" s="21" t="str">
        <x:v>20261001_180022Z_4c3f0d40_cli</x:v>
      </x:c>
      <x:c r="D47" s="21" t="str">
        <x:v>old_dev</x:v>
      </x:c>
      <x:c r="E47" s="21" t="str">
        <x:v>INTERRUPTED</x:v>
      </x:c>
      <x:c r="F47" s="22" t="n">
        <x:v>1</x:v>
      </x:c>
      <x:c r="G47" s="22" t="n">
        <x:v>0</x:v>
      </x:c>
      <x:c r="H47" s="23" t="n">
        <x:f>IF(F47=0,"NOT RUN",G47/F47)</x:f>
        <x:v>0</x:v>
      </x:c>
      <x:c r="I47" s="22" t="n">
        <x:v>0</x:v>
      </x:c>
      <x:c r="J47" s="22" t="n">
        <x:v>539</x:v>
      </x:c>
      <x:c r="K47" s="22" t="n">
        <x:v>37</x:v>
      </x:c>
      <x:c r="L47" s="22" t="str">
        <x:v>UNKNOWN</x:v>
      </x:c>
      <x:c r="M47" s="22" t="n">
        <x:v>1</x:v>
      </x:c>
      <x:c r="N47" s="22" t="n">
        <x:v>1</x:v>
      </x:c>
      <x:c r="O47" s="22" t="n">
        <x:v>0</x:v>
      </x:c>
      <x:c r="P47" s="24" t="n">
        <x:v>3.5928320000002714</x:v>
      </x:c>
      <x:c r="Q47" s="24" t="n">
        <x:v>3.5928320000002714</x:v>
      </x:c>
      <x:c r="R47" s="24" t="n">
        <x:v>3.5928320000002714</x:v>
      </x:c>
      <x:c r="S47" s="24" t="str">
        <x:v>UNKNOWN</x:v>
      </x:c>
      <x:c r="T47" s="24" t="str">
        <x:v>UNKNOWN</x:v>
      </x:c>
      <x:c r="U47" s="25" t="str">
        <x:v>UNKNOWN</x:v>
      </x:c>
      <x:c r="V47" s="24" t="n">
        <x:v>2.067</x:v>
      </x:c>
      <x:c r="W47" s="25" t="n">
        <x:v>31.12</x:v>
      </x:c>
      <x:c r="X47" s="22" t="n">
        <x:v>13849</x:v>
      </x:c>
      <x:c r="Y47" s="25" t="n">
        <x:f>IF(ISNUMBER(X47),X47/1024,X47)</x:f>
        <x:v>13.5244140625</x:v>
      </x:c>
      <x:c r="Z47" s="25" t="n">
        <x:v>30.130714416503906</x:v>
      </x:c>
      <x:c r="AA47" s="25" t="n">
        <x:v>20.550602197647095</x:v>
      </x:c>
      <x:c r="AB47" s="73" t="str">
        <x:v>Q4_K_M</x:v>
      </x:c>
      <x:c r="AC47" s="20" t="str">
        <x:v>0.55</x:v>
      </x:c>
      <x:c r="AD47" s="20" t="str">
        <x:v>UNKNOWN</x:v>
      </x:c>
      <x:c r="AE47" s="22" t="n">
        <x:v>4096</x:v>
      </x:c>
      <x:c r="AF47" s="22" t="n">
        <x:v>1</x:v>
      </x:c>
      <x:c r="AG47" s="19" t="str">
        <x:v>UNKNOWN</x:v>
      </x:c>
      <x:c r="AH47" s="22" t="str">
        <x:v>UNKNOWN</x:v>
      </x:c>
      <x:c r="AI47" s="22" t="str">
        <x:v>UNKNOWN</x:v>
      </x:c>
      <x:c r="AJ47" s="24" t="str">
        <x:v>UNKNOWN</x:v>
      </x:c>
      <x:c r="AK47" s="20" t="str">
        <x:v>UNKNOWN</x:v>
      </x:c>
      <x:c r="AL47" s="20" t="str">
        <x:v>20261001_180022Z_4c3f0d40_cli/qwen3.6-35b-a3b-uncensored-hauhaucs-aggressive</x:v>
      </x:c>
      <x:c r="AM47" s="28"/>
      <x:c r="AN47" s="28" t="str">
        <x:v>results/20261001_180022Z_4c3f0d40_cli/qwen3.6-35b-a3b-uncensored-hauhaucs-aggressive_raw.jsonl</x:v>
      </x:c>
      <x:c r="AP47" s="31" t="str">
        <x:v>[object Object]</x:v>
      </x:c>
    </x:row>
    <x:row r="48" ht="46" customHeight="1">
      <x:c r="A48" s="21" t="str">
        <x:v>Historical CLI DEV</x:v>
      </x:c>
      <x:c r="B48" s="21" t="str">
        <x:v>qwen3-coder-next</x:v>
      </x:c>
      <x:c r="C48" s="21" t="str">
        <x:v>20261001_180022Z_4c3f0d40_cli</x:v>
      </x:c>
      <x:c r="D48" s="21" t="str">
        <x:v>old_dev</x:v>
      </x:c>
      <x:c r="E48" s="21" t="str">
        <x:v>INTERRUPTED</x:v>
      </x:c>
      <x:c r="F48" s="22" t="n">
        <x:v>0</x:v>
      </x:c>
      <x:c r="G48" s="22" t="str">
        <x:v>UNKNOWN</x:v>
      </x:c>
      <x:c r="H48" s="23" t="str">
        <x:f>IF(F48=0,"NOT RUN",G48/F48)</x:f>
        <x:v>NOT RUN</x:v>
      </x:c>
      <x:c r="I48" s="22" t="str">
        <x:v>UNKNOWN</x:v>
      </x:c>
      <x:c r="J48" s="22" t="str">
        <x:v>UNKNOWN</x:v>
      </x:c>
      <x:c r="K48" s="22" t="str">
        <x:v>UNKNOWN</x:v>
      </x:c>
      <x:c r="L48" s="22" t="str">
        <x:v>UNKNOWN</x:v>
      </x:c>
      <x:c r="M48" s="22" t="n">
        <x:v>0</x:v>
      </x:c>
      <x:c r="N48" s="22" t="n">
        <x:v>0</x:v>
      </x:c>
      <x:c r="O48" s="22" t="n">
        <x:v>0</x:v>
      </x:c>
      <x:c r="P48" s="24" t="str">
        <x:v>UNKNOWN</x:v>
      </x:c>
      <x:c r="Q48" s="24" t="str">
        <x:v>UNKNOWN</x:v>
      </x:c>
      <x:c r="R48" s="24" t="str">
        <x:v>UNKNOWN</x:v>
      </x:c>
      <x:c r="S48" s="24" t="str">
        <x:v>UNKNOWN</x:v>
      </x:c>
      <x:c r="T48" s="24" t="str">
        <x:v>UNKNOWN</x:v>
      </x:c>
      <x:c r="U48" s="25" t="str">
        <x:v>UNKNOWN</x:v>
      </x:c>
      <x:c r="V48" s="24" t="str">
        <x:v>UNKNOWN</x:v>
      </x:c>
      <x:c r="W48" s="25" t="str">
        <x:v>UNKNOWN</x:v>
      </x:c>
      <x:c r="X48" s="22" t="n">
        <x:v>13801</x:v>
      </x:c>
      <x:c r="Y48" s="25" t="n">
        <x:f>IF(ISNUMBER(X48),X48/1024,X48)</x:f>
        <x:v>13.4775390625</x:v>
      </x:c>
      <x:c r="Z48" s="25" t="n">
        <x:v>19.677696228027344</x:v>
      </x:c>
      <x:c r="AA48" s="25" t="n">
        <x:v>31.031917572021484</x:v>
      </x:c>
      <x:c r="AB48" s="73" t="str">
        <x:v>Q3_K_S</x:v>
      </x:c>
      <x:c r="AC48" s="20" t="str">
        <x:v>0.40</x:v>
      </x:c>
      <x:c r="AD48" s="20" t="str">
        <x:v>UNKNOWN</x:v>
      </x:c>
      <x:c r="AE48" s="22" t="n">
        <x:v>4096</x:v>
      </x:c>
      <x:c r="AF48" s="22" t="n">
        <x:v>1</x:v>
      </x:c>
      <x:c r="AG48" s="19" t="str">
        <x:v>UNKNOWN</x:v>
      </x:c>
      <x:c r="AH48" s="22" t="str">
        <x:v>UNKNOWN</x:v>
      </x:c>
      <x:c r="AI48" s="22" t="str">
        <x:v>UNKNOWN</x:v>
      </x:c>
      <x:c r="AJ48" s="24" t="str">
        <x:v>UNKNOWN</x:v>
      </x:c>
      <x:c r="AK48" s="20" t="str">
        <x:v>UNKNOWN</x:v>
      </x:c>
      <x:c r="AL48" s="20" t="str">
        <x:v>20261001_180022Z_4c3f0d40_cli/qwen3-coder-next</x:v>
      </x:c>
      <x:c r="AM48" s="28"/>
      <x:c r="AN48" s="28" t="str">
        <x:v>results/20261001_180022Z_4c3f0d40_cli/manifest.json</x:v>
      </x:c>
      <x:c r="AP48" s="31" t="str">
        <x:v>[object Object]</x:v>
      </x:c>
    </x:row>
    <x:row r="49" ht="46" customHeight="1">
      <x:c r="A49" s="21" t="str">
        <x:v>Historical CLI DEV</x:v>
      </x:c>
      <x:c r="B49" s="21" t="str">
        <x:v>gemma-4-26b-a4b-it</x:v>
      </x:c>
      <x:c r="C49" s="21" t="str">
        <x:v>20261001_181115Z_5bff1166_cli</x:v>
      </x:c>
      <x:c r="D49" s="21" t="str">
        <x:v>old_dev</x:v>
      </x:c>
      <x:c r="E49" s="21" t="str">
        <x:v>SAVED</x:v>
      </x:c>
      <x:c r="F49" s="22" t="n">
        <x:v>36</x:v>
      </x:c>
      <x:c r="G49" s="22" t="n">
        <x:v>21</x:v>
      </x:c>
      <x:c r="H49" s="23" t="n">
        <x:f>IF(F49=0,"NOT RUN",G49/F49)</x:f>
        <x:v>0.5833333333333334</x:v>
      </x:c>
      <x:c r="I49" s="22" t="n">
        <x:v>1</x:v>
      </x:c>
      <x:c r="J49" s="22" t="n">
        <x:v>17016</x:v>
      </x:c>
      <x:c r="K49" s="22" t="n">
        <x:v>1123</x:v>
      </x:c>
      <x:c r="L49" s="22" t="str">
        <x:v>UNKNOWN</x:v>
      </x:c>
      <x:c r="M49" s="22" t="n">
        <x:v>36</x:v>
      </x:c>
      <x:c r="N49" s="22" t="n">
        <x:v>36</x:v>
      </x:c>
      <x:c r="O49" s="22" t="n">
        <x:v>0</x:v>
      </x:c>
      <x:c r="P49" s="24" t="n">
        <x:v>1.5799279833333406</x:v>
      </x:c>
      <x:c r="Q49" s="24" t="n">
        <x:v>1.471990850000111</x:v>
      </x:c>
      <x:c r="R49" s="24" t="n">
        <x:v>2.3624020749998635</x:v>
      </x:c>
      <x:c r="S49" s="24" t="str">
        <x:v>UNKNOWN</x:v>
      </x:c>
      <x:c r="T49" s="24" t="str">
        <x:v>UNKNOWN</x:v>
      </x:c>
      <x:c r="U49" s="25" t="str">
        <x:v>UNKNOWN</x:v>
      </x:c>
      <x:c r="V49" s="24" t="n">
        <x:v>0.4285</x:v>
      </x:c>
      <x:c r="W49" s="25" t="n">
        <x:v>36.55</x:v>
      </x:c>
      <x:c r="X49" s="22" t="n">
        <x:v>13937</x:v>
      </x:c>
      <x:c r="Y49" s="25" t="n">
        <x:f>IF(ISNUMBER(X49),X49/1024,X49)</x:f>
        <x:v>13.6103515625</x:v>
      </x:c>
      <x:c r="Z49" s="25" t="n">
        <x:v>25.742290496826172</x:v>
      </x:c>
      <x:c r="AA49" s="25" t="n">
        <x:v>15.690822293050587</x:v>
      </x:c>
      <x:c r="AB49" s="73" t="str">
        <x:v>IQ4_NL_XL</x:v>
      </x:c>
      <x:c r="AC49" s="20" t="str">
        <x:v>0.70</x:v>
      </x:c>
      <x:c r="AD49" s="20" t="str">
        <x:v>UNKNOWN</x:v>
      </x:c>
      <x:c r="AE49" s="22" t="n">
        <x:v>4096</x:v>
      </x:c>
      <x:c r="AF49" s="22" t="n">
        <x:v>1</x:v>
      </x:c>
      <x:c r="AG49" s="19" t="str">
        <x:v>UNKNOWN</x:v>
      </x:c>
      <x:c r="AH49" s="22" t="str">
        <x:v>UNKNOWN</x:v>
      </x:c>
      <x:c r="AI49" s="22" t="str">
        <x:v>UNKNOWN</x:v>
      </x:c>
      <x:c r="AJ49" s="24" t="str">
        <x:v>UNKNOWN</x:v>
      </x:c>
      <x:c r="AK49" s="20" t="str">
        <x:v>UNKNOWN</x:v>
      </x:c>
      <x:c r="AL49" s="20" t="str">
        <x:v>20261001_181115Z_5bff1166_cli/gemma-4-26b-a4b-it</x:v>
      </x:c>
      <x:c r="AM49" s="28"/>
      <x:c r="AN49" s="28" t="str">
        <x:v>results/20261001_181115Z_5bff1166_cli/gemma-4-26b-a4b-it_raw.jsonl</x:v>
      </x:c>
      <x:c r="AP49" s="31" t="str">
        <x:v>Historical CLI controls UNKNOWN. Repeated DEV observations; excluded from API quality selection.</x:v>
      </x:c>
    </x:row>
    <x:row r="50" ht="46" customHeight="1">
      <x:c r="A50" s="21" t="str">
        <x:v>Historical CLI DEV</x:v>
      </x:c>
      <x:c r="B50" s="21" t="str">
        <x:v>qwen3-coder-next</x:v>
      </x:c>
      <x:c r="C50" s="21" t="str">
        <x:v>20261001_181425Z_b95ae6f4_cli</x:v>
      </x:c>
      <x:c r="D50" s="21" t="str">
        <x:v>old_dev</x:v>
      </x:c>
      <x:c r="E50" s="21" t="str">
        <x:v>INTERRUPTED</x:v>
      </x:c>
      <x:c r="F50" s="22" t="n">
        <x:v>0</x:v>
      </x:c>
      <x:c r="G50" s="22" t="str">
        <x:v>UNKNOWN</x:v>
      </x:c>
      <x:c r="H50" s="23" t="str">
        <x:f>IF(F50=0,"NOT RUN",G50/F50)</x:f>
        <x:v>NOT RUN</x:v>
      </x:c>
      <x:c r="I50" s="22" t="str">
        <x:v>UNKNOWN</x:v>
      </x:c>
      <x:c r="J50" s="22" t="str">
        <x:v>UNKNOWN</x:v>
      </x:c>
      <x:c r="K50" s="22" t="str">
        <x:v>UNKNOWN</x:v>
      </x:c>
      <x:c r="L50" s="22" t="str">
        <x:v>UNKNOWN</x:v>
      </x:c>
      <x:c r="M50" s="22" t="n">
        <x:v>0</x:v>
      </x:c>
      <x:c r="N50" s="22" t="n">
        <x:v>0</x:v>
      </x:c>
      <x:c r="O50" s="22" t="n">
        <x:v>0</x:v>
      </x:c>
      <x:c r="P50" s="24" t="str">
        <x:v>UNKNOWN</x:v>
      </x:c>
      <x:c r="Q50" s="24" t="str">
        <x:v>UNKNOWN</x:v>
      </x:c>
      <x:c r="R50" s="24" t="str">
        <x:v>UNKNOWN</x:v>
      </x:c>
      <x:c r="S50" s="24" t="str">
        <x:v>UNKNOWN</x:v>
      </x:c>
      <x:c r="T50" s="24" t="str">
        <x:v>UNKNOWN</x:v>
      </x:c>
      <x:c r="U50" s="25" t="str">
        <x:v>UNKNOWN</x:v>
      </x:c>
      <x:c r="V50" s="24" t="str">
        <x:v>UNKNOWN</x:v>
      </x:c>
      <x:c r="W50" s="25" t="str">
        <x:v>UNKNOWN</x:v>
      </x:c>
      <x:c r="X50" s="22" t="n">
        <x:v>11777</x:v>
      </x:c>
      <x:c r="Y50" s="25" t="n">
        <x:f>IF(ISNUMBER(X50),X50/1024,X50)</x:f>
        <x:v>11.5009765625</x:v>
      </x:c>
      <x:c r="Z50" s="25" t="n">
        <x:v>27.651451110839844</x:v>
      </x:c>
      <x:c r="AA50" s="25" t="n">
        <x:v>31.031917572021484</x:v>
      </x:c>
      <x:c r="AB50" s="73" t="str">
        <x:v>Q3_K_S</x:v>
      </x:c>
      <x:c r="AC50" s="20" t="str">
        <x:v>0.35</x:v>
      </x:c>
      <x:c r="AD50" s="20" t="str">
        <x:v>UNKNOWN</x:v>
      </x:c>
      <x:c r="AE50" s="22" t="n">
        <x:v>4096</x:v>
      </x:c>
      <x:c r="AF50" s="22" t="n">
        <x:v>1</x:v>
      </x:c>
      <x:c r="AG50" s="19" t="str">
        <x:v>UNKNOWN</x:v>
      </x:c>
      <x:c r="AH50" s="22" t="str">
        <x:v>UNKNOWN</x:v>
      </x:c>
      <x:c r="AI50" s="22" t="str">
        <x:v>UNKNOWN</x:v>
      </x:c>
      <x:c r="AJ50" s="24" t="str">
        <x:v>UNKNOWN</x:v>
      </x:c>
      <x:c r="AK50" s="20" t="str">
        <x:v>UNKNOWN</x:v>
      </x:c>
      <x:c r="AL50" s="20" t="str">
        <x:v>20261001_181425Z_b95ae6f4_cli/qwen3-coder-next</x:v>
      </x:c>
      <x:c r="AM50" s="28"/>
      <x:c r="AN50" s="28" t="str">
        <x:v>results/20261001_181425Z_b95ae6f4_cli/manifest.json</x:v>
      </x:c>
      <x:c r="AP50" s="31" t="str">
        <x:v>[object Object]</x:v>
      </x:c>
    </x:row>
    <x:row r="51" ht="46" customHeight="1">
      <x:c r="A51" s="21" t="str">
        <x:v>Historical CLI DEV</x:v>
      </x:c>
      <x:c r="B51" s="21" t="str">
        <x:v>qwen3.8-27b</x:v>
      </x:c>
      <x:c r="C51" s="21" t="str">
        <x:v>20261001_181635Z_1a6b892a_cli</x:v>
      </x:c>
      <x:c r="D51" s="21" t="str">
        <x:v>custom_dev</x:v>
      </x:c>
      <x:c r="E51" s="21" t="str">
        <x:v>SAVED</x:v>
      </x:c>
      <x:c r="F51" s="22" t="n">
        <x:v>12</x:v>
      </x:c>
      <x:c r="G51" s="22" t="n">
        <x:v>9</x:v>
      </x:c>
      <x:c r="H51" s="23" t="n">
        <x:f>IF(F51=0,"NOT RUN",G51/F51)</x:f>
        <x:v>0.75</x:v>
      </x:c>
      <x:c r="I51" s="22" t="n">
        <x:v>0</x:v>
      </x:c>
      <x:c r="J51" s="22" t="n">
        <x:v>5927</x:v>
      </x:c>
      <x:c r="K51" s="22" t="n">
        <x:v>409</x:v>
      </x:c>
      <x:c r="L51" s="22" t="str">
        <x:v>UNKNOWN</x:v>
      </x:c>
      <x:c r="M51" s="22" t="n">
        <x:v>12</x:v>
      </x:c>
      <x:c r="N51" s="22" t="n">
        <x:v>12</x:v>
      </x:c>
      <x:c r="O51" s="22" t="n">
        <x:v>0</x:v>
      </x:c>
      <x:c r="P51" s="24" t="n">
        <x:v>3.2905290333334656</x:v>
      </x:c>
      <x:c r="Q51" s="24" t="n">
        <x:v>3.267790650000279</x:v>
      </x:c>
      <x:c r="R51" s="24" t="n">
        <x:v>4.141679580000255</x:v>
      </x:c>
      <x:c r="S51" s="24" t="str">
        <x:v>UNKNOWN</x:v>
      </x:c>
      <x:c r="T51" s="24" t="str">
        <x:v>UNKNOWN</x:v>
      </x:c>
      <x:c r="U51" s="25" t="str">
        <x:v>UNKNOWN</x:v>
      </x:c>
      <x:c r="V51" s="24" t="n">
        <x:v>0.7515000000000001</x:v>
      </x:c>
      <x:c r="W51" s="25" t="n">
        <x:v>15.545</x:v>
      </x:c>
      <x:c r="X51" s="22" t="n">
        <x:v>15089</x:v>
      </x:c>
      <x:c r="Y51" s="25" t="n">
        <x:f>IF(ISNUMBER(X51),X51/1024,X51)</x:f>
        <x:v>14.7353515625</x:v>
      </x:c>
      <x:c r="Z51" s="25" t="n">
        <x:v>27.66363525390625</x:v>
      </x:c>
      <x:c r="AA51" s="25" t="n">
        <x:v>16.197610154747963</x:v>
      </x:c>
      <x:c r="AB51" s="73" t="str">
        <x:v>Q4_K_M</x:v>
      </x:c>
      <x:c r="AC51" s="20" t="str">
        <x:v>0.75</x:v>
      </x:c>
      <x:c r="AD51" s="20" t="str">
        <x:v>UNKNOWN</x:v>
      </x:c>
      <x:c r="AE51" s="22" t="n">
        <x:v>4096</x:v>
      </x:c>
      <x:c r="AF51" s="22" t="n">
        <x:v>1</x:v>
      </x:c>
      <x:c r="AG51" s="19" t="str">
        <x:v>UNKNOWN</x:v>
      </x:c>
      <x:c r="AH51" s="22" t="str">
        <x:v>UNKNOWN</x:v>
      </x:c>
      <x:c r="AI51" s="22" t="str">
        <x:v>UNKNOWN</x:v>
      </x:c>
      <x:c r="AJ51" s="24" t="str">
        <x:v>UNKNOWN</x:v>
      </x:c>
      <x:c r="AK51" s="20" t="str">
        <x:v>UNKNOWN</x:v>
      </x:c>
      <x:c r="AL51" s="20" t="str">
        <x:v>20261001_181635Z_1a6b892a_cli/qwen3.8-27b</x:v>
      </x:c>
      <x:c r="AM51" s="28"/>
      <x:c r="AN51" s="28" t="str">
        <x:v>results/20261001_181635Z_1a6b892a_cli/qwen3.8-27b_raw.jsonl</x:v>
      </x:c>
      <x:c r="AP51" s="31" t="str">
        <x:v>Historical CLI controls UNKNOWN. Repeated DEV observations; excluded from API quality selection.</x:v>
      </x:c>
    </x:row>
    <x:row r="52" ht="46" customHeight="1">
      <x:c r="A52" s="21" t="str">
        <x:v>Historical CLI DEV</x:v>
      </x:c>
      <x:c r="B52" s="21" t="str">
        <x:v>gemma-4-26b-a4b-it</x:v>
      </x:c>
      <x:c r="C52" s="21" t="str">
        <x:v>20261001_181635Z_1a6b892a_cli</x:v>
      </x:c>
      <x:c r="D52" s="21" t="str">
        <x:v>custom_dev</x:v>
      </x:c>
      <x:c r="E52" s="21" t="str">
        <x:v>SAVED</x:v>
      </x:c>
      <x:c r="F52" s="22" t="n">
        <x:v>12</x:v>
      </x:c>
      <x:c r="G52" s="22" t="n">
        <x:v>9</x:v>
      </x:c>
      <x:c r="H52" s="23" t="n">
        <x:f>IF(F52=0,"NOT RUN",G52/F52)</x:f>
        <x:v>0.75</x:v>
      </x:c>
      <x:c r="I52" s="22" t="n">
        <x:v>0</x:v>
      </x:c>
      <x:c r="J52" s="22" t="n">
        <x:v>6074</x:v>
      </x:c>
      <x:c r="K52" s="22" t="n">
        <x:v>430</x:v>
      </x:c>
      <x:c r="L52" s="22" t="str">
        <x:v>UNKNOWN</x:v>
      </x:c>
      <x:c r="M52" s="22" t="n">
        <x:v>12</x:v>
      </x:c>
      <x:c r="N52" s="22" t="n">
        <x:v>12</x:v>
      </x:c>
      <x:c r="O52" s="22" t="n">
        <x:v>0</x:v>
      </x:c>
      <x:c r="P52" s="24" t="n">
        <x:v>1.8813388999997944</x:v>
      </x:c>
      <x:c r="Q52" s="24" t="n">
        <x:v>1.8098323499998514</x:v>
      </x:c>
      <x:c r="R52" s="24" t="n">
        <x:v>2.5849965550000884</x:v>
      </x:c>
      <x:c r="S52" s="24" t="str">
        <x:v>UNKNOWN</x:v>
      </x:c>
      <x:c r="T52" s="24" t="str">
        <x:v>UNKNOWN</x:v>
      </x:c>
      <x:c r="U52" s="25" t="str">
        <x:v>UNKNOWN</x:v>
      </x:c>
      <x:c r="V52" s="24" t="n">
        <x:v>0.4715</x:v>
      </x:c>
      <x:c r="W52" s="25" t="n">
        <x:v>35.32</x:v>
      </x:c>
      <x:c r="X52" s="22" t="n">
        <x:v>13913</x:v>
      </x:c>
      <x:c r="Y52" s="25" t="n">
        <x:f>IF(ISNUMBER(X52),X52/1024,X52)</x:f>
        <x:v>13.5869140625</x:v>
      </x:c>
      <x:c r="Z52" s="25" t="n">
        <x:v>25.434078216552734</x:v>
      </x:c>
      <x:c r="AA52" s="25" t="n">
        <x:v>15.690822293050587</x:v>
      </x:c>
      <x:c r="AB52" s="73" t="str">
        <x:v>IQ4_NL_XL</x:v>
      </x:c>
      <x:c r="AC52" s="20" t="str">
        <x:v>0.70</x:v>
      </x:c>
      <x:c r="AD52" s="20" t="str">
        <x:v>UNKNOWN</x:v>
      </x:c>
      <x:c r="AE52" s="22" t="n">
        <x:v>4096</x:v>
      </x:c>
      <x:c r="AF52" s="22" t="n">
        <x:v>1</x:v>
      </x:c>
      <x:c r="AG52" s="19" t="str">
        <x:v>UNKNOWN</x:v>
      </x:c>
      <x:c r="AH52" s="22" t="str">
        <x:v>UNKNOWN</x:v>
      </x:c>
      <x:c r="AI52" s="22" t="str">
        <x:v>UNKNOWN</x:v>
      </x:c>
      <x:c r="AJ52" s="24" t="str">
        <x:v>UNKNOWN</x:v>
      </x:c>
      <x:c r="AK52" s="20" t="str">
        <x:v>UNKNOWN</x:v>
      </x:c>
      <x:c r="AL52" s="20" t="str">
        <x:v>20261001_181635Z_1a6b892a_cli/gemma-4-26b-a4b-it</x:v>
      </x:c>
      <x:c r="AM52" s="28"/>
      <x:c r="AN52" s="28" t="str">
        <x:v>results/20261001_181635Z_1a6b892a_cli/gemma-4-26b-a4b-it_raw.jsonl</x:v>
      </x:c>
      <x:c r="AP52" s="31" t="str">
        <x:v>Historical CLI controls UNKNOWN. Repeated DEV observations; excluded from API quality selection.</x:v>
      </x:c>
    </x:row>
    <x:row r="53" ht="46" customHeight="1">
      <x:c r="A53" s="21" t="str">
        <x:v>Mercury API DEV</x:v>
      </x:c>
      <x:c r="B53" s="21" t="str">
        <x:v>mercury-2.5</x:v>
      </x:c>
      <x:c r="C53" s="21" t="str">
        <x:v>20261001_200720Z_e2dad72a_mercurydev36</x:v>
      </x:c>
      <x:c r="D53" s="21" t="str">
        <x:v>old_dev</x:v>
      </x:c>
      <x:c r="E53" s="21" t="str">
        <x:v>DEVELOPMENT_ONLY</x:v>
      </x:c>
      <x:c r="F53" s="22" t="n">
        <x:v>36</x:v>
      </x:c>
      <x:c r="G53" s="22" t="n">
        <x:v>27</x:v>
      </x:c>
      <x:c r="H53" s="23" t="n">
        <x:f>IF(F53=0,"NOT RUN",G53/F53)</x:f>
        <x:v>0.75</x:v>
      </x:c>
      <x:c r="I53" s="22" t="n">
        <x:v>4</x:v>
      </x:c>
      <x:c r="J53" s="22" t="n">
        <x:v>19819</x:v>
      </x:c>
      <x:c r="K53" s="22" t="n">
        <x:v>6463</x:v>
      </x:c>
      <x:c r="L53" s="22" t="str">
        <x:v>UNKNOWN</x:v>
      </x:c>
      <x:c r="M53" s="22" t="n">
        <x:v>34</x:v>
      </x:c>
      <x:c r="N53" s="22" t="n">
        <x:v>34</x:v>
      </x:c>
      <x:c r="O53" s="22" t="n">
        <x:v>0</x:v>
      </x:c>
      <x:c r="P53" s="24" t="n">
        <x:v>4.980864202777815</x:v>
      </x:c>
      <x:c r="Q53" s="24" t="n">
        <x:v>1.6966231000005791</x:v>
      </x:c>
      <x:c r="R53" s="24" t="n">
        <x:v>17.358803700000863</x:v>
      </x:c>
      <x:c r="S53" s="24" t="str">
        <x:v>UNKNOWN</x:v>
      </x:c>
      <x:c r="T53" s="24" t="str">
        <x:v>UNKNOWN</x:v>
      </x:c>
      <x:c r="U53" s="25" t="str">
        <x:v>UNKNOWN</x:v>
      </x:c>
      <x:c r="V53" s="24" t="str">
        <x:v>UNKNOWN</x:v>
      </x:c>
      <x:c r="W53" s="25" t="str">
        <x:v>UNKNOWN</x:v>
      </x:c>
      <x:c r="X53" s="22" t="str">
        <x:v>N/A</x:v>
      </x:c>
      <x:c r="Y53" s="25" t="str">
        <x:f>IF(ISNUMBER(X53),X53/1024,X53)</x:f>
        <x:v>N/A</x:v>
      </x:c>
      <x:c r="Z53" s="25" t="str">
        <x:v>N/A</x:v>
      </x:c>
      <x:c r="AA53" s="25" t="str">
        <x:v>N/A</x:v>
      </x:c>
      <x:c r="AB53" s="73" t="str">
        <x:v>N/A</x:v>
      </x:c>
      <x:c r="AC53" s="20" t="str">
        <x:v>N/A</x:v>
      </x:c>
      <x:c r="AD53" s="20" t="str">
        <x:v>N/A</x:v>
      </x:c>
      <x:c r="AE53" s="22" t="str">
        <x:v>UNKNOWN</x:v>
      </x:c>
      <x:c r="AF53" s="22" t="str">
        <x:v>UNKNOWN</x:v>
      </x:c>
      <x:c r="AG53" s="19" t="n">
        <x:v>0</x:v>
      </x:c>
      <x:c r="AH53" s="22" t="n">
        <x:v>512</x:v>
      </x:c>
      <x:c r="AI53" s="22" t="str">
        <x:v>UNKNOWN</x:v>
      </x:c>
      <x:c r="AJ53" s="24" t="str">
        <x:v>N/A</x:v>
      </x:c>
      <x:c r="AK53" s="20" t="str">
        <x:v>instant</x:v>
      </x:c>
      <x:c r="AL53" s="20" t="str">
        <x:v>20261001_200720Z_e2dad72a_mercurydev36/mercury-2.5</x:v>
      </x:c>
      <x:c r="AM53" s="28"/>
      <x:c r="AN53" s="28" t="str">
        <x:v>results/20261001_200720Z_e2dad72a_mercurydev36/combined_mercury_raw.jsonl</x:v>
      </x:c>
      <x:c r="AP53" s="31" t="str">
        <x:v>Combined DEV36 includes earlier pilot once. Two calls have unknown cost/usage. Remote resources N/A. Server sets requested temperature 0 to 1 in 34 saved responses.</x:v>
      </x:c>
    </x:row>
    <x:row r="56" ht="27" customHeight="1">
      <x:c r="A56" s="71" t="str">
        <x:v>Определения</x:v>
      </x:c>
      <x:c r="B56" s="72" t="str"/>
    </x:row>
    <x:row r="57" ht="27" customHeight="1">
      <x:c r="A57" s="71" t="str">
        <x:v>Единица наблюдения</x:v>
      </x:c>
      <x:c r="B57" s="72" t="str">
        <x:v>Run ID × model. В summary не объединяются повторные ответы разных DEV запусков.</x:v>
      </x:c>
    </x:row>
    <x:row r="58" ht="27" customHeight="1">
      <x:c r="A58" s="71" t="str">
        <x:v>Выбор API серии</x:v>
      </x:c>
      <x:c r="B58" s="72" t="str">
        <x:v>Largest completed off-or-low old_dev; latest run breaks ties; highest score is never the selector.</x:v>
      </x:c>
    </x:row>
    <x:row r="59" ht="27" customHeight="1">
      <x:c r="A59" s="71" t="str">
        <x:v>Память</x:v>
      </x:c>
      <x:c r="B59" s="72" t="str">
        <x:v>VRAM sampled whole GPU / RAM sampled whole PC. Other apps are included. Model allocation and exact peak UNKNOWN.</x:v>
      </x:c>
    </x:row>
    <x:row r="60" ht="27" customHeight="1">
      <x:c r="A60" s="71" t="str">
        <x:v>Offload</x:v>
      </x:c>
      <x:c r="B60" s="72" t="str">
        <x:v>Requested max/fraction is retained. Actually offloaded GPU layers UNKNOWN.</x:v>
      </x:c>
    </x:row>
    <x:row r="61" ht="27" customHeight="1">
      <x:c r="A61" s="71" t="str">
        <x:v>Каталог файлов</x:v>
      </x:c>
      <x:c r="B61" s="72" t="str">
        <x:v>Catalog size includes weights and associated mmproj/config. Gemma total 16847892149 bytes; main weight 14556687680 bytes.</x:v>
      </x:c>
    </x:row>
    <x:row r="62" ht="27" customHeight="1">
      <x:c r="A62" s="71" t="str">
        <x:v>Reasoning</x:v>
      </x:c>
      <x:c r="B62" s="72" t="str">
        <x:v>Reported reasoning is a subset of completion tokens. Missing reasoning counts remain UNKNOWN.</x:v>
      </x:c>
    </x:row>
    <x:row r="63" ht="27" customHeight="1">
      <x:c r="A63" s="71" t="str">
        <x:v>Client TPS</x:v>
      </x:c>
      <x:c r="B63" s="72" t="str">
        <x:v>Counted completion tokens / interval from first to last nonempty delta; first-token interval omitted; backend decode differs.</x:v>
      </x:c>
    </x:row>
    <x:row r="64" ht="27" customHeight="1">
      <x:c r="A64" s="71" t="str">
        <x:v>Backend TPS log</x:v>
      </x:c>
      <x:c r="B64" s="72" t="str">
        <x:v>242/242 requests uniquely match own home-api instance, order/count, completion tokens and timestamp. Cache n_tokens diagnostic differs in 32 records; source usage is unchanged.</x:v>
      </x:c>
    </x:row>
    <x:row r="65" ht="27" customHeight="1">
      <x:c r="A65" s="71" t="str">
        <x:v>Backend log source</x:v>
      </x:c>
      <x:c r="B65" s="72" t="str">
        <x:v>outputs/home_pc_final_20261002_analytics7b4c/backend_log_metrics.json</x:v>
      </x:c>
    </x:row>
    <x:row r="66" ht="27" customHeight="1">
      <x:c r="A66" s="71" t="str">
        <x:v>TTFT</x:v>
      </x:c>
      <x:c r="B66" s="72" t="str">
        <x:v>API first delta can be reasoning. First answer delta is separately recorded. CLI backend TTFT is a different measurement.</x:v>
      </x:c>
    </x:row>
    <x:row r="67" ht="27" customHeight="1">
      <x:c r="A67" s="71" t="str">
        <x:v>API source</x:v>
      </x:c>
      <x:c r="B67" s="72" t="str">
        <x:v>results/20261001_api_tables_35768dbf/summary.json</x:v>
      </x:c>
    </x:row>
    <x:row r="68" ht="27" customHeight="1">
      <x:c r="A68" s="71" t="str">
        <x:v>CLI source</x:v>
      </x:c>
      <x:c r="B68" s="72" t="str">
        <x:v>results/20261001_inventory_summary_3f4378ba/summary.json</x:v>
      </x:c>
    </x:row>
    <x:row r="69" ht="27" customHeight="1">
      <x:c r="A69" s="71" t="str">
        <x:v>Mercury source</x:v>
      </x:c>
      <x:c r="B69" s="72" t="str">
        <x:v>results/20261001_200720Z_e2dad72a_mercurydev36/summary.json</x:v>
      </x:c>
    </x:row>
    <x:row r="70" ht="27" customHeight="1">
      <x:c r="A70" s="71" t="str">
        <x:v>Jev/Laya source</x:v>
      </x:c>
      <x:c r="B70" s="72" t="str">
        <x:v>results/20261001_200150Z_881eb739_jevdev/summary.json</x:v>
      </x:c>
    </x:row>
    <x:row r="71" ht="27" customHeight="1">
      <x:c r="A71" s="71" t="str">
        <x:v>FINAL source</x:v>
      </x:c>
      <x:c r="B71" s="72" t="str">
        <x:v>results/analysis_input_reconciled_20261002_052358Z_804ced2b/analysis_20261002_052438Z_2c0beea8/statistics_reporting_corrected.json</x:v>
      </x:c>
    </x:row>
    <x:row r="72" ht="27" customHeight="1">
      <x:c r="A72" s="71" t="str">
        <x:v>FINAL warnings source</x:v>
      </x:c>
      <x:c r="B72" s="72" t="str">
        <x:v>results\analysis_input_reconciled_20261002_052358Z_804ced2b\analysis_20261002_052438Z_2c0beea8\provider_observations.json</x:v>
      </x:c>
    </x:row>
  </x:sheetData>
  <x:conditionalFormatting sqref="E9:E53">
    <x:cfRule type="containsText" dxfId="0" priority="1" operator="containsText" text="NOT_RUN"/>
    <x:cfRule type="containsText" dxfId="1" priority="2" operator="containsText" text="STOP"/>
  </x:conditionalFormatting>
  <x:pageMargins left="0.7" right="0.7" top="0.75" bottom="0.75" header="0.3" footer="0.3"/>
  <x:tableParts count="1">
    <x:tablePart xmlns:r="http://schemas.openxmlformats.org/officeDocument/2006/relationships" r:id="R1f4ac33a5bcf402a"/>
  </x:tableParts>
</x:worksheet>
</file>
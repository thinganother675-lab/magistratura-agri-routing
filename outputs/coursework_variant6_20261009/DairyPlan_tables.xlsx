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d3e3381b9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кономика" sheetId="1" r:id="Rc5ca22fa436c4b94"/>
    <x:sheet xmlns:r="http://schemas.openxmlformats.org/officeDocument/2006/relationships" name="План и часы" sheetId="2" r:id="Rb1375c85a9584318"/>
    <x:sheet xmlns:r="http://schemas.openxmlformats.org/officeDocument/2006/relationships" name="Риски и этапы" sheetId="3" r:id="R100c06b9166540a7"/>
    <x:sheet xmlns:r="http://schemas.openxmlformats.org/officeDocument/2006/relationships" name="Аудит данных" sheetId="4" r:id="R7de6e3703f704268"/>
    <x:sheet xmlns:r="http://schemas.openxmlformats.org/officeDocument/2006/relationships" name="Согласование" sheetId="5" r:id="Rf09f3fe4cd444943"/>
    <x:sheet xmlns:r="http://schemas.openxmlformats.org/officeDocument/2006/relationships" name="Ставки и оснащение" sheetId="6" r:id="Ra8ce3956b889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"/>
    <x:numFmt numFmtId="202" formatCode="0.00"/>
    <x:numFmt numFmtId="203" formatCode="0.000%"/>
    <x:numFmt numFmtId="204" formatCode="#,##0;-#,##0;&quot;-&quot;"/>
    <x:numFmt numFmtId="205" formatCode="0%"/>
    <x:numFmt numFmtId="206" formatCode="0.0"/>
  </x:numFmts>
  <x:fonts count="6">
    <x:font>
      <x:sz val="11"/>
      <x:name val="Carlito"/>
    </x:font>
    <x:font>
      <x:sz val="11"/>
      <x:color rgb="FF173A45"/>
      <x:name val="Arial"/>
    </x:font>
    <x:font>
      <x:b/>
      <x:sz val="16"/>
      <x:color rgb="FF175D71"/>
      <x:name val="Arial"/>
    </x:font>
    <x:font>
      <x:sz val="11"/>
      <x:color rgb="FF2458A6"/>
      <x:name val="Arial"/>
    </x:font>
    <x:font>
      <x:b/>
      <x:sz val="11"/>
      <x:color rgb="FFFFFFFF"/>
      <x:name val="Arial"/>
    </x:font>
    <x:font>
      <x:b/>
      <x:sz val="11"/>
      <x:color rgb="FF173A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5D71"/>
      </x:patternFill>
    </x:fill>
    <x:fill>
      <x:patternFill patternType="solid">
        <x:fgColor rgb="FFED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/>
    </x:xf>
    <x:xf numFmtId="205" fontId="1" fillId="3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3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6" fontId="5" fillId="0" borderId="0" xfId="0" applyNumberFormat="1" applyFont="1" applyFill="1" applyBorder="1" applyAlignment="1">
      <x:alignment vertical="top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AD2822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4d50d304d48f6" /><Relationship Type="http://schemas.openxmlformats.org/officeDocument/2006/relationships/theme" Target="/xl/theme/theme1.xml" Id="R6a934e5172ab4f6d" /><Relationship Type="http://schemas.openxmlformats.org/officeDocument/2006/relationships/sharedStrings" Target="/xl/sharedStrings.xml" Id="Red5e37436de340fd" /><Relationship Type="http://schemas.openxmlformats.org/officeDocument/2006/relationships/worksheet" Target="/xl/worksheets/sheet1.xml" Id="Rc5ca22fa436c4b94" /><Relationship Type="http://schemas.openxmlformats.org/officeDocument/2006/relationships/worksheet" Target="/xl/worksheets/sheet2.xml" Id="Rb1375c85a9584318" /><Relationship Type="http://schemas.openxmlformats.org/officeDocument/2006/relationships/worksheet" Target="/xl/worksheets/sheet3.xml" Id="R100c06b9166540a7" /><Relationship Type="http://schemas.openxmlformats.org/officeDocument/2006/relationships/worksheet" Target="/xl/worksheets/sheet4.xml" Id="R7de6e3703f704268" /><Relationship Type="http://schemas.openxmlformats.org/officeDocument/2006/relationships/worksheet" Target="/xl/worksheets/sheet5.xml" Id="Rf09f3fe4cd444943" /><Relationship Type="http://schemas.openxmlformats.org/officeDocument/2006/relationships/worksheet" Target="/xl/worksheets/sheet6.xml" Id="Ra8ce3956b88940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5D71"/>
  </x:sheetPr>
  <x:sheetViews>
    <x:sheetView showGridLines="0" workbookViewId="0">
      <x:pane ySplit="27" topLeftCell="A28" activePane="bottomLeft" state="frozen"/>
    </x:sheetView>
  </x:sheetViews>
  <x:sheetFormatPr defaultRowHeight="15"/>
  <x:cols>
    <x:col min="1" max="1" width="65" hidden="0" customWidth="1"/>
    <x:col min="2" max="2" width="26.25" hidden="0" customWidth="1"/>
    <x:col min="3" max="3" width="61.25" hidden="0" customWidth="1"/>
    <x:col min="4" max="4" width="26.25" hidden="0" customWidth="1"/>
    <x:col min="5" max="5" width="26.25" hidden="0" customWidth="1"/>
    <x:col min="6" max="6" width="27.5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3" t="str">
        <x:v>Молочный план. Учебная экономика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 t="str">
        <x:v>Шестернин Денис. Вариант 6. 09.10.2026. Изменяемые входы синие.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40" customHeight="1">
      <x:c r="A6" s="4" t="str">
        <x:v>Годовая база выпуска, упаковок</x:v>
      </x:c>
      <x:c r="B6" s="5" t="n">
        <x:v>3000000</x:v>
      </x:c>
      <x:c r="C6" s="4" t="str">
        <x:v>Допущение: неизменный ассортимент</x:v>
      </x:c>
      <x:c r="D6" s="2"/>
      <x:c r="E6" s="2"/>
      <x:c r="F6" s="2"/>
    </x:row>
    <x:row r="7" ht="40" customHeight="1">
      <x:c r="A7" s="4" t="str">
        <x:v>Исходные списания</x:v>
      </x:c>
      <x:c r="B7" s="6" t="n">
        <x:v>0.04</x:v>
      </x:c>
      <x:c r="C7" s="4" t="str">
        <x:v>Доля годового выпуска</x:v>
      </x:c>
      <x:c r="D7" s="2"/>
      <x:c r="E7" s="2"/>
      <x:c r="F7" s="2"/>
    </x:row>
    <x:row r="8" ht="40" customHeight="1">
      <x:c r="A8" s="4" t="str">
        <x:v>Целевые списания</x:v>
      </x:c>
      <x:c r="B8" s="6" t="n">
        <x:v>0.03</x:v>
      </x:c>
      <x:c r="C8" s="4" t="str">
        <x:v>Гипотеза до испытания</x:v>
      </x:c>
      <x:c r="D8" s="2"/>
      <x:c r="E8" s="2"/>
      <x:c r="F8" s="2"/>
    </x:row>
    <x:row r="9" ht="40" customHeight="1">
      <x:c r="A9" s="4" t="str">
        <x:v>Избегаемые затраты, руб./упаковку</x:v>
      </x:c>
      <x:c r="B9" s="5" t="n">
        <x:v>25</x:v>
      </x:c>
      <x:c r="C9" s="4" t="str">
        <x:v>Переменные затраты, не розничная цена</x:v>
      </x:c>
      <x:c r="D9" s="2"/>
      <x:c r="E9" s="2"/>
      <x:c r="F9" s="2"/>
    </x:row>
    <x:row r="10" ht="40" customHeight="1">
      <x:c r="A10" s="4" t="str">
        <x:v>Обслуживание, руб./полный год</x:v>
      </x:c>
      <x:c r="B10" s="5" t="n">
        <x:v>96000</x:v>
      </x:c>
      <x:c r="C10" s="4" t="str">
        <x:v>72 тыс. поддержка + 12 тыс. инфраструктура + 12 тыс. обновление</x:v>
      </x:c>
      <x:c r="D10" s="2"/>
      <x:c r="E10" s="2"/>
      <x:c r="F10" s="2"/>
    </x:row>
    <x:row r="11" ht="40" customHeight="1">
      <x:c r="A11" s="4" t="str">
        <x:v>Горизонт оценки, полных лет</x:v>
      </x:c>
      <x:c r="B11" s="5" t="n">
        <x:v>3</x:v>
      </x:c>
      <x:c r="C11" s="4" t="str">
        <x:v>С начала эксплуатации после ввода</x:v>
      </x:c>
      <x:c r="D11" s="2"/>
      <x:c r="E11" s="2"/>
      <x:c r="F11" s="2"/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 ht="40" customHeight="1">
      <x:c r="A14" s="4" t="str">
        <x:v>Снижение списаний, доля выпуска</x:v>
      </x:c>
      <x:c r="B14" s="7" t="n">
        <x:f>IF(COUNT(B6:B11)&lt;6,"нет данных",IF(OR(B6&lt;=0,B7&lt;0,B7&gt;1,B8&lt;0,B8&gt;1,B9&lt;0,B10&lt;0,B11&lt;=0),"некорректные входы",B7-B8))</x:f>
        <x:v>0.010000000000000002</x:v>
      </x:c>
      <x:c r="C14" s="2"/>
      <x:c r="D14" s="2"/>
      <x:c r="E14" s="2"/>
      <x:c r="F14" s="2"/>
    </x:row>
    <x:row r="15" ht="40" customHeight="1">
      <x:c r="A15" s="4" t="str">
        <x:v>Избегаемые списания, упаковок/год</x:v>
      </x:c>
      <x:c r="B15" s="8" t="n">
        <x:f>IF(COUNT(B14,B6)&lt;2,"нет данных",B14*B6)</x:f>
        <x:v>30000.000000000007</x:v>
      </x:c>
      <x:c r="C15" s="2"/>
      <x:c r="D15" s="2"/>
      <x:c r="E15" s="2"/>
      <x:c r="F15" s="2"/>
    </x:row>
    <x:row r="16" ht="40" customHeight="1">
      <x:c r="A16" s="4" t="str">
        <x:v>Валовой эффект, руб./год</x:v>
      </x:c>
      <x:c r="B16" s="8" t="n">
        <x:f>IF(COUNT(B15,B9)&lt;2,"нет данных",B15*B9)</x:f>
        <x:v>750000.0000000002</x:v>
      </x:c>
      <x:c r="C16" s="2"/>
      <x:c r="D16" s="2"/>
      <x:c r="E16" s="2"/>
      <x:c r="F16" s="2"/>
    </x:row>
    <x:row r="17" ht="40" customHeight="1">
      <x:c r="A17" s="4" t="str">
        <x:v>Чистый эффект, руб./год</x:v>
      </x:c>
      <x:c r="B17" s="8" t="n">
        <x:f>IF(COUNT(B16,B10)&lt;2,"нет данных",B16-B10)</x:f>
        <x:v>654000.0000000002</x:v>
      </x:c>
      <x:c r="C17" s="2"/>
      <x:c r="D17" s="2"/>
      <x:c r="E17" s="2"/>
      <x:c r="F17" s="2"/>
    </x:row>
    <x:row r="18" ht="40" customHeight="1">
      <x:c r="A18" s="4" t="str">
        <x:v>Начальные инвестиции, руб.</x:v>
      </x:c>
      <x:c r="B18" s="8" t="n">
        <x:f>'План и часы'!N14+'Ставки и оснащение'!D23</x:f>
        <x:v>1107240</x:v>
      </x:c>
      <x:c r="C18" s="2"/>
      <x:c r="D18" s="2"/>
      <x:c r="E18" s="2"/>
      <x:c r="F18" s="2"/>
    </x:row>
    <x:row r="19" ht="40" customHeight="1">
      <x:c r="A19" s="4" t="str">
        <x:v>Простая окупаемость, полных лет</x:v>
      </x:c>
      <x:c r="B19" s="9" t="n">
        <x:f>IF(COUNT(B17:B18)&lt;2,"нет данных",IF(B17&gt;0,B18/B17,"не окупается"))</x:f>
        <x:v>1.6930275229357792</x:v>
      </x:c>
      <x:c r="C19" s="4" t="str">
        <x:v>После ввода. Ожидание, налоги и дисконтирование не учтены.</x:v>
      </x:c>
      <x:c r="D19" s="2"/>
      <x:c r="E19" s="2"/>
      <x:c r="F19" s="2"/>
    </x:row>
    <x:row r="20" ht="40" customHeight="1">
      <x:c r="A20" s="4" t="str">
        <x:v>Рентабельность за заданный горизонт</x:v>
      </x:c>
      <x:c r="B20" s="7" t="n">
        <x:f>IF(COUNT(B17:B18,B11)&lt;3,"нет данных",IF(B18&gt;0,(B17*B11-B18)/B18,"нет инвестиций"))</x:f>
        <x:v>0.771973555868647</x:v>
      </x:c>
      <x:c r="C20" s="2"/>
      <x:c r="D20" s="2"/>
      <x:c r="E20" s="2"/>
      <x:c r="F20" s="2"/>
    </x:row>
    <x:row r="21" ht="40" customHeight="1">
      <x:c r="A21" s="4" t="str">
        <x:v>Возврат при учёте годовых потоков</x:v>
      </x:c>
      <x:c r="B21" s="2" t="n">
        <x:f>IF(COUNT(B19)&lt;1,"не окупается / нет данных",ROUNDUP(B19,0))</x:f>
        <x:v>2</x:v>
      </x:c>
      <x:c r="C21" s="2"/>
      <x:c r="D21" s="2"/>
      <x:c r="E21" s="2"/>
      <x:c r="F21" s="2"/>
    </x:row>
    <x:row r="22" ht="40" customHeight="1">
      <x:c r="A22" s="4" t="str">
        <x:v>Порог снижения для положительного эффекта</x:v>
      </x:c>
      <x:c r="B22" s="10" t="n">
        <x:f>IF(COUNT(B6,B9,B10)&lt;3,"нет данных",IF(B6*B9&gt;0,B10/(B6*B9),"нет цены/объёма"))</x:f>
        <x:v>0.00128</x:v>
      </x:c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  <x:row r="24">
      <x:c r="A24" s="2"/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 ht="42" customHeight="1">
      <x:c r="A27" s="15" t="str">
        <x:v>Год эксплуатации</x:v>
      </x:c>
      <x:c r="B27" s="15" t="str">
        <x:v>Инвестиции, руб.</x:v>
      </x:c>
      <x:c r="C27" s="15" t="str">
        <x:v>Валовой эффект</x:v>
      </x:c>
      <x:c r="D27" s="15" t="str">
        <x:v>Обслуживание</x:v>
      </x:c>
      <x:c r="E27" s="15" t="str">
        <x:v>Поток, руб.</x:v>
      </x:c>
      <x:c r="F27" s="15" t="str">
        <x:v>Накопленный поток</x:v>
      </x:c>
    </x:row>
    <x:row r="28" ht="35" customHeight="1">
      <x:c r="A28" s="16" t="n">
        <x:v>0</x:v>
      </x:c>
      <x:c r="B28" s="17" t="n">
        <x:f>-B18</x:f>
        <x:v>-1107240</x:v>
      </x:c>
      <x:c r="C28" s="17" t="n">
        <x:v>0</x:v>
      </x:c>
      <x:c r="D28" s="17" t="n">
        <x:v>0</x:v>
      </x:c>
      <x:c r="E28" s="17" t="n">
        <x:f>SUM(B28:D28)</x:f>
        <x:v>-1107240</x:v>
      </x:c>
      <x:c r="F28" s="17" t="n">
        <x:f>E28</x:f>
        <x:v>-1107240</x:v>
      </x:c>
    </x:row>
    <x:row r="29" ht="35" customHeight="1">
      <x:c r="A29" s="4" t="n">
        <x:v>1</x:v>
      </x:c>
      <x:c r="B29" s="18" t="n">
        <x:v>0</x:v>
      </x:c>
      <x:c r="C29" s="18" t="n">
        <x:f>$B$16</x:f>
        <x:v>750000.0000000002</x:v>
      </x:c>
      <x:c r="D29" s="18" t="n">
        <x:f>-$B$10</x:f>
        <x:v>-96000</x:v>
      </x:c>
      <x:c r="E29" s="18" t="n">
        <x:f>IF(COUNT(B29:D29)&lt;3,"нет данных",SUM(B29:D29))</x:f>
        <x:v>654000.0000000002</x:v>
      </x:c>
      <x:c r="F29" s="18" t="n">
        <x:f>IF(COUNT(F28,E29)&lt;2,"нет данных",F28+E29)</x:f>
        <x:v>-453239.99999999977</x:v>
      </x:c>
    </x:row>
    <x:row r="30" ht="35" customHeight="1">
      <x:c r="A30" s="16" t="n">
        <x:v>2</x:v>
      </x:c>
      <x:c r="B30" s="17" t="n">
        <x:v>0</x:v>
      </x:c>
      <x:c r="C30" s="17" t="n">
        <x:f>$B$16</x:f>
        <x:v>750000.0000000002</x:v>
      </x:c>
      <x:c r="D30" s="17" t="n">
        <x:f>-$B$10</x:f>
        <x:v>-96000</x:v>
      </x:c>
      <x:c r="E30" s="17" t="n">
        <x:f>IF(COUNT(B30:D30)&lt;3,"нет данных",SUM(B30:D30))</x:f>
        <x:v>654000.0000000002</x:v>
      </x:c>
      <x:c r="F30" s="17" t="n">
        <x:f>IF(COUNT(F29,E30)&lt;2,"нет данных",F29+E30)</x:f>
        <x:v>200760.00000000047</x:v>
      </x:c>
    </x:row>
    <x:row r="31" ht="35" customHeight="1">
      <x:c r="A31" s="4" t="n">
        <x:v>3</x:v>
      </x:c>
      <x:c r="B31" s="18" t="n">
        <x:v>0</x:v>
      </x:c>
      <x:c r="C31" s="18" t="n">
        <x:f>$B$16</x:f>
        <x:v>750000.0000000002</x:v>
      </x:c>
      <x:c r="D31" s="18" t="n">
        <x:f>-$B$10</x:f>
        <x:v>-96000</x:v>
      </x:c>
      <x:c r="E31" s="18" t="n">
        <x:f>IF(COUNT(B31:D31)&lt;3,"нет данных",SUM(B31:D31))</x:f>
        <x:v>654000.0000000002</x:v>
      </x:c>
      <x:c r="F31" s="18" t="n">
        <x:f>IF(COUNT(F30,E31)&lt;2,"нет данных",F30+E31)</x:f>
        <x:v>854760.0000000007</x:v>
      </x:c>
    </x:row>
    <x:row r="32" ht="35" customHeight="1">
      <x:c r="A32" s="16" t="n">
        <x:v>4</x:v>
      </x:c>
      <x:c r="B32" s="17" t="n">
        <x:v>0</x:v>
      </x:c>
      <x:c r="C32" s="17" t="n">
        <x:f>$B$16</x:f>
        <x:v>750000.0000000002</x:v>
      </x:c>
      <x:c r="D32" s="17" t="n">
        <x:f>-$B$10</x:f>
        <x:v>-96000</x:v>
      </x:c>
      <x:c r="E32" s="17" t="n">
        <x:f>IF(COUNT(B32:D32)&lt;3,"нет данных",SUM(B32:D32))</x:f>
        <x:v>654000.0000000002</x:v>
      </x:c>
      <x:c r="F32" s="17" t="n">
        <x:f>IF(COUNT(F31,E32)&lt;2,"нет данных",F31+E32)</x:f>
        <x:v>1508760.000000001</x:v>
      </x:c>
    </x:row>
    <x:row r="33" ht="35" customHeight="1">
      <x:c r="A33" s="4" t="n">
        <x:v>5</x:v>
      </x:c>
      <x:c r="B33" s="18" t="n">
        <x:v>0</x:v>
      </x:c>
      <x:c r="C33" s="18" t="n">
        <x:f>$B$16</x:f>
        <x:v>750000.0000000002</x:v>
      </x:c>
      <x:c r="D33" s="18" t="n">
        <x:f>-$B$10</x:f>
        <x:v>-96000</x:v>
      </x:c>
      <x:c r="E33" s="18" t="n">
        <x:f>IF(COUNT(B33:D33)&lt;3,"нет данных",SUM(B33:D33))</x:f>
        <x:v>654000.0000000002</x:v>
      </x:c>
      <x:c r="F33" s="18" t="n">
        <x:f>IF(COUNT(F32,E33)&lt;2,"нет данных",F32+E33)</x:f>
        <x:v>2162760.000000001</x:v>
      </x:c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  <x:row r="36">
      <x:c r="A36" s="2" t="str">
        <x:v>Экономия - сценарий. Точность на искусственных данных не доказывает снижение списаний.</x:v>
      </x:c>
      <x:c r="B36" s="2"/>
      <x:c r="C36" s="2"/>
      <x:c r="D36" s="2"/>
      <x:c r="E36" s="2"/>
      <x:c r="F36" s="2"/>
    </x:row>
    <x:row r="37">
      <x:c r="A37" s="2" t="str">
        <x:v>Условия и источники допущений: паспорт проекта и задание 3 в основном PDF.</x:v>
      </x:c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  <x:row r="42">
      <x:c r="A42" s="2"/>
      <x:c r="B42" s="2"/>
      <x:c r="C42" s="2"/>
      <x:c r="D42" s="2"/>
      <x:c r="E42" s="2"/>
      <x:c r="F42" s="2"/>
    </x:row>
  </x:sheetData>
  <x:conditionalFormatting sqref="B17:B17">
    <x:cfRule type="cellIs" dxfId="0" priority="1" operator="lessThanOrEqual">
      <x:formula>0</x:formula>
    </x:cfRule>
  </x:conditionalFormatting>
  <x:dataValidations count="3">
    <x:dataValidation type="decimal" operator="greaterThan" sqref="B6">
      <x:formula1>0</x:formula1>
    </x:dataValidation>
    <x:dataValidation type="decimal" operator="between" sqref="B7:B8">
      <x:formula1>0</x:formula1>
      <x:formula2>1</x:formula2>
    </x:dataValidation>
    <x:dataValidation type="decimal" operator="greaterThanOrEqual" sqref="B9:B1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25" hidden="0" customWidth="1"/>
    <x:col min="2" max="2" width="32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1.25" hidden="0" customWidth="1"/>
    <x:col min="12" max="12" width="11.25" hidden="0" customWidth="1"/>
    <x:col min="13" max="13" width="13.130000114440918" hidden="0" customWidth="1"/>
    <x:col min="14" max="14" width="16.8799991607666" hidden="0" customWidth="1"/>
    <x:col min="15" max="15" width="28.75" hidden="0" customWidth="1"/>
    <x:col min="16" max="16" width="13.130000114440918" hidden="0" customWidth="1"/>
    <x:col min="17" max="17" width="13.1300001144409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2" customHeight="1">
      <x:c r="A2" s="3" t="str">
        <x:v>Задание 4. Роли, часы и стоимость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Часы профессиональной команды. Резерв по каждой роли оплачивается по той же ставке.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2" customHeight="1">
      <x:c r="A6" s="15" t="str">
        <x:v>№</x:v>
      </x:c>
      <x:c r="B6" s="15" t="str">
        <x:v>Этап</x:v>
      </x:c>
      <x:c r="C6" s="15" t="str">
        <x:v>Руководитель</x:v>
      </x:c>
      <x:c r="D6" s="15" t="str">
        <x:v>Технолог</x:v>
      </x:c>
      <x:c r="E6" s="15" t="str">
        <x:v>Инженер данных</x:v>
      </x:c>
      <x:c r="F6" s="15" t="str">
        <x:v>Аналитик модели</x:v>
      </x:c>
      <x:c r="G6" s="15" t="str">
        <x:v>Разработчик</x:v>
      </x:c>
      <x:c r="H6" s="15" t="str">
        <x:v>Администратор</x:v>
      </x:c>
      <x:c r="I6" s="15" t="str">
        <x:v>Испытатель</x:v>
      </x:c>
      <x:c r="J6" s="15" t="str">
        <x:v>Юрист</x:v>
      </x:c>
      <x:c r="K6" s="15" t="str">
        <x:v>База, ч.</x:v>
      </x:c>
      <x:c r="L6" s="15" t="str">
        <x:v>Резерв</x:v>
      </x:c>
      <x:c r="M6" s="15" t="str">
        <x:v>Резерв, ч.</x:v>
      </x:c>
      <x:c r="N6" s="15" t="str">
        <x:v>Работы, руб.</x:v>
      </x:c>
      <x:c r="O6" s="15" t="str">
        <x:v>Предшественник</x:v>
      </x:c>
      <x:c r="P6" s="15" t="str">
        <x:v>Активные недели</x:v>
      </x:c>
      <x:c r="Q6" s="15" t="str">
        <x:v>Всего, ч.</x:v>
      </x:c>
    </x:row>
    <x:row r="7" ht="60" customHeight="1">
      <x:c r="A7" s="19" t="n">
        <x:v>1</x:v>
      </x:c>
      <x:c r="B7" s="16" t="str">
        <x:v>Обследование</x:v>
      </x:c>
      <x:c r="C7" s="16" t="n">
        <x:v>12</x:v>
      </x:c>
      <x:c r="D7" s="16" t="n">
        <x:v>8</x:v>
      </x:c>
      <x:c r="E7" s="16" t="n">
        <x:v>8</x:v>
      </x:c>
      <x:c r="F7" s="16" t="n">
        <x:v>8</x:v>
      </x:c>
      <x:c r="G7" s="16" t="n">
        <x:v>0</x:v>
      </x:c>
      <x:c r="H7" s="16" t="n">
        <x:v>0</x:v>
      </x:c>
      <x:c r="I7" s="16" t="n">
        <x:v>4</x:v>
      </x:c>
      <x:c r="J7" s="16" t="n">
        <x:v>4</x:v>
      </x:c>
      <x:c r="K7" s="16" t="n">
        <x:f>SUM(C7:J7)</x:f>
        <x:v>44</x:v>
      </x:c>
      <x:c r="L7" s="22" t="n">
        <x:v>0.2</x:v>
      </x:c>
      <x:c r="M7" s="24" t="n">
        <x:f>K7*L7</x:f>
        <x:v>8.8</x:v>
      </x:c>
      <x:c r="N7" s="27" t="n">
        <x:f>(C7*'Ставки и оснащение'!C6+D7*'Ставки и оснащение'!C7+E7*'Ставки и оснащение'!C8+F7*'Ставки и оснащение'!C9+G7*'Ставки и оснащение'!C10+H7*'Ставки и оснащение'!C11+I7*'Ставки и оснащение'!C12+J7*'Ставки и оснащение'!C13)*(1+L7)</x:f>
        <x:v>75840</x:v>
      </x:c>
      <x:c r="O7" s="19" t="str">
        <x:v>Нет</x:v>
      </x:c>
      <x:c r="P7" s="16" t="n">
        <x:v>2</x:v>
      </x:c>
      <x:c r="Q7" s="24" t="n">
        <x:f>K7+M7</x:f>
        <x:v>52.8</x:v>
      </x:c>
    </x:row>
    <x:row r="8" ht="60" customHeight="1">
      <x:c r="A8" s="20" t="n">
        <x:v>2</x:v>
      </x:c>
      <x:c r="B8" s="4" t="str">
        <x:v>Подготовка данных</x:v>
      </x:c>
      <x:c r="C8" s="4" t="n">
        <x:v>8</x:v>
      </x:c>
      <x:c r="D8" s="4" t="n">
        <x:v>12</x:v>
      </x:c>
      <x:c r="E8" s="4" t="n">
        <x:v>32</x:v>
      </x:c>
      <x:c r="F8" s="4" t="n">
        <x:v>16</x:v>
      </x:c>
      <x:c r="G8" s="4" t="n">
        <x:v>0</x:v>
      </x:c>
      <x:c r="H8" s="4" t="n">
        <x:v>0</x:v>
      </x:c>
      <x:c r="I8" s="4" t="n">
        <x:v>8</x:v>
      </x:c>
      <x:c r="J8" s="4" t="n">
        <x:v>4</x:v>
      </x:c>
      <x:c r="K8" s="4" t="n">
        <x:f>SUM(C8:J8)</x:f>
        <x:v>80</x:v>
      </x:c>
      <x:c r="L8" s="23" t="n">
        <x:v>0.3</x:v>
      </x:c>
      <x:c r="M8" s="25" t="n">
        <x:f>K8*L8</x:f>
        <x:v>24</x:v>
      </x:c>
      <x:c r="N8" s="28" t="n">
        <x:f>(C8*'Ставки и оснащение'!C6+D8*'Ставки и оснащение'!C7+E8*'Ставки и оснащение'!C8+F8*'Ставки и оснащение'!C9+G8*'Ставки и оснащение'!C10+H8*'Ставки и оснащение'!C11+I8*'Ставки и оснащение'!C12+J8*'Ставки и оснащение'!C13)*(1+L8)</x:f>
        <x:v>148720</x:v>
      </x:c>
      <x:c r="O8" s="20" t="str">
        <x:v>1</x:v>
      </x:c>
      <x:c r="P8" s="4" t="n">
        <x:v>2</x:v>
      </x:c>
      <x:c r="Q8" s="25" t="n">
        <x:f>K8+M8</x:f>
        <x:v>104</x:v>
      </x:c>
    </x:row>
    <x:row r="9" ht="60" customHeight="1">
      <x:c r="A9" s="19" t="n">
        <x:v>3</x:v>
      </x:c>
      <x:c r="B9" s="16" t="str">
        <x:v>Проверка модели</x:v>
      </x:c>
      <x:c r="C9" s="16" t="n">
        <x:v>8</x:v>
      </x:c>
      <x:c r="D9" s="16" t="n">
        <x:v>8</x:v>
      </x:c>
      <x:c r="E9" s="16" t="n">
        <x:v>8</x:v>
      </x:c>
      <x:c r="F9" s="16" t="n">
        <x:v>40</x:v>
      </x:c>
      <x:c r="G9" s="16" t="n">
        <x:v>8</x:v>
      </x:c>
      <x:c r="H9" s="16" t="n">
        <x:v>0</x:v>
      </x:c>
      <x:c r="I9" s="16" t="n">
        <x:v>8</x:v>
      </x:c>
      <x:c r="J9" s="16" t="n">
        <x:v>0</x:v>
      </x:c>
      <x:c r="K9" s="16" t="n">
        <x:f>SUM(C9:J9)</x:f>
        <x:v>80</x:v>
      </x:c>
      <x:c r="L9" s="22" t="n">
        <x:v>0.25</x:v>
      </x:c>
      <x:c r="M9" s="24" t="n">
        <x:f>K9*L9</x:f>
        <x:v>20</x:v>
      </x:c>
      <x:c r="N9" s="27" t="n">
        <x:f>(C9*'Ставки и оснащение'!C6+D9*'Ставки и оснащение'!C7+E9*'Ставки и оснащение'!C8+F9*'Ставки и оснащение'!C9+G9*'Ставки и оснащение'!C10+H9*'Ставки и оснащение'!C11+I9*'Ставки и оснащение'!C12+J9*'Ставки и оснащение'!C13)*(1+L9)</x:f>
        <x:v>156000</x:v>
      </x:c>
      <x:c r="O9" s="19" t="str">
        <x:v>2</x:v>
      </x:c>
      <x:c r="P9" s="16" t="n">
        <x:v>2</x:v>
      </x:c>
      <x:c r="Q9" s="24" t="n">
        <x:f>K9+M9</x:f>
        <x:v>100</x:v>
      </x:c>
    </x:row>
    <x:row r="10" ht="60" customHeight="1">
      <x:c r="A10" s="20" t="n">
        <x:v>4</x:v>
      </x:c>
      <x:c r="B10" s="4" t="str">
        <x:v>Рабочий прототип</x:v>
      </x:c>
      <x:c r="C10" s="4" t="n">
        <x:v>12</x:v>
      </x:c>
      <x:c r="D10" s="4" t="n">
        <x:v>8</x:v>
      </x:c>
      <x:c r="E10" s="4" t="n">
        <x:v>16</x:v>
      </x:c>
      <x:c r="F10" s="4" t="n">
        <x:v>16</x:v>
      </x:c>
      <x:c r="G10" s="4" t="n">
        <x:v>64</x:v>
      </x:c>
      <x:c r="H10" s="4" t="n">
        <x:v>16</x:v>
      </x:c>
      <x:c r="I10" s="4" t="n">
        <x:v>24</x:v>
      </x:c>
      <x:c r="J10" s="4" t="n">
        <x:v>0</x:v>
      </x:c>
      <x:c r="K10" s="4" t="n">
        <x:f>SUM(C10:J10)</x:f>
        <x:v>156</x:v>
      </x:c>
      <x:c r="L10" s="23" t="n">
        <x:v>0.2</x:v>
      </x:c>
      <x:c r="M10" s="25" t="n">
        <x:f>K10*L10</x:f>
        <x:v>31.200000000000003</x:v>
      </x:c>
      <x:c r="N10" s="28" t="n">
        <x:f>(C10*'Ставки и оснащение'!C6+D10*'Ставки и оснащение'!C7+E10*'Ставки и оснащение'!C8+F10*'Ставки и оснащение'!C9+G10*'Ставки и оснащение'!C10+H10*'Ставки и оснащение'!C11+I10*'Ставки и оснащение'!C12+J10*'Ставки и оснащение'!C13)*(1+L10)</x:f>
        <x:v>275520</x:v>
      </x:c>
      <x:c r="O10" s="20" t="str">
        <x:v>3</x:v>
      </x:c>
      <x:c r="P10" s="4" t="n">
        <x:v>4</x:v>
      </x:c>
      <x:c r="Q10" s="25" t="n">
        <x:f>K10+M10</x:f>
        <x:v>187.2</x:v>
      </x:c>
    </x:row>
    <x:row r="11" ht="60" customHeight="1">
      <x:c r="A11" s="19" t="n">
        <x:v>5</x:v>
      </x:c>
      <x:c r="B11" s="16" t="str">
        <x:v>Опытная эксплуатация</x:v>
      </x:c>
      <x:c r="C11" s="16" t="n">
        <x:v>8</x:v>
      </x:c>
      <x:c r="D11" s="16" t="n">
        <x:v>16</x:v>
      </x:c>
      <x:c r="E11" s="16" t="n">
        <x:v>8</x:v>
      </x:c>
      <x:c r="F11" s="16" t="n">
        <x:v>16</x:v>
      </x:c>
      <x:c r="G11" s="16" t="n">
        <x:v>8</x:v>
      </x:c>
      <x:c r="H11" s="16" t="n">
        <x:v>8</x:v>
      </x:c>
      <x:c r="I11" s="16" t="n">
        <x:v>24</x:v>
      </x:c>
      <x:c r="J11" s="16" t="n">
        <x:v>4</x:v>
      </x:c>
      <x:c r="K11" s="16" t="n">
        <x:f>SUM(C11:J11)</x:f>
        <x:v>92</x:v>
      </x:c>
      <x:c r="L11" s="22" t="n">
        <x:v>0.25</x:v>
      </x:c>
      <x:c r="M11" s="24" t="n">
        <x:f>K11*L11</x:f>
        <x:v>23</x:v>
      </x:c>
      <x:c r="N11" s="27" t="n">
        <x:f>(C11*'Ставки и оснащение'!C6+D11*'Ставки и оснащение'!C7+E11*'Ставки и оснащение'!C8+F11*'Ставки и оснащение'!C9+G11*'Ставки и оснащение'!C10+H11*'Ставки и оснащение'!C11+I11*'Ставки и оснащение'!C12+J11*'Ставки и оснащение'!C13)*(1+L11)</x:f>
        <x:v>159000</x:v>
      </x:c>
      <x:c r="O11" s="19" t="str">
        <x:v>4</x:v>
      </x:c>
      <x:c r="P11" s="16" t="n">
        <x:v>8</x:v>
      </x:c>
      <x:c r="Q11" s="24" t="n">
        <x:f>K11+M11</x:f>
        <x:v>115</x:v>
      </x:c>
    </x:row>
    <x:row r="12" ht="60" customHeight="1">
      <x:c r="A12" s="20" t="n">
        <x:v>6</x:v>
      </x:c>
      <x:c r="B12" s="4" t="str">
        <x:v>Ввод в эксплуатацию</x:v>
      </x:c>
      <x:c r="C12" s="4" t="n">
        <x:v>8</x:v>
      </x:c>
      <x:c r="D12" s="4" t="n">
        <x:v>8</x:v>
      </x:c>
      <x:c r="E12" s="4" t="n">
        <x:v>8</x:v>
      </x:c>
      <x:c r="F12" s="4" t="n">
        <x:v>4</x:v>
      </x:c>
      <x:c r="G12" s="4" t="n">
        <x:v>8</x:v>
      </x:c>
      <x:c r="H12" s="4" t="n">
        <x:v>16</x:v>
      </x:c>
      <x:c r="I12" s="4" t="n">
        <x:v>12</x:v>
      </x:c>
      <x:c r="J12" s="4" t="n">
        <x:v>4</x:v>
      </x:c>
      <x:c r="K12" s="4" t="n">
        <x:f>SUM(C12:J12)</x:f>
        <x:v>68</x:v>
      </x:c>
      <x:c r="L12" s="23" t="n">
        <x:v>0.2</x:v>
      </x:c>
      <x:c r="M12" s="25" t="n">
        <x:f>K12*L12</x:f>
        <x:v>13.600000000000001</x:v>
      </x:c>
      <x:c r="N12" s="28" t="n">
        <x:f>(C12*'Ставки и оснащение'!C6+D12*'Ставки и оснащение'!C7+E12*'Ставки и оснащение'!C8+F12*'Ставки и оснащение'!C9+G12*'Ставки и оснащение'!C10+H12*'Ставки и оснащение'!C11+I12*'Ставки и оснащение'!C12+J12*'Ставки и оснащение'!C13)*(1+L12)</x:f>
        <x:v>116160</x:v>
      </x:c>
      <x:c r="O12" s="20" t="str">
        <x:v>5 принят</x:v>
      </x:c>
      <x:c r="P12" s="4" t="n">
        <x:v>2</x:v>
      </x:c>
      <x:c r="Q12" s="25" t="n">
        <x:f>K12+M12</x:f>
        <x:v>81.6</x:v>
      </x:c>
    </x:row>
    <x:row r="13" ht="60" customHeight="1">
      <x:c r="A13" s="19" t="n">
        <x:v>7</x:v>
      </x:c>
      <x:c r="B13" s="16" t="str">
        <x:v>Начальная поддержка</x:v>
      </x:c>
      <x:c r="C13" s="16" t="n">
        <x:v>8</x:v>
      </x:c>
      <x:c r="D13" s="16" t="n">
        <x:v>8</x:v>
      </x:c>
      <x:c r="E13" s="16" t="n">
        <x:v>8</x:v>
      </x:c>
      <x:c r="F13" s="16" t="n">
        <x:v>12</x:v>
      </x:c>
      <x:c r="G13" s="16" t="n">
        <x:v>8</x:v>
      </x:c>
      <x:c r="H13" s="16" t="n">
        <x:v>8</x:v>
      </x:c>
      <x:c r="I13" s="16" t="n">
        <x:v>8</x:v>
      </x:c>
      <x:c r="J13" s="16" t="n">
        <x:v>0</x:v>
      </x:c>
      <x:c r="K13" s="16" t="n">
        <x:f>SUM(C13:J13)</x:f>
        <x:v>60</x:v>
      </x:c>
      <x:c r="L13" s="22" t="n">
        <x:v>0.25</x:v>
      </x:c>
      <x:c r="M13" s="24" t="n">
        <x:f>K13*L13</x:f>
        <x:v>15</x:v>
      </x:c>
      <x:c r="N13" s="27" t="n">
        <x:f>(C13*'Ставки и оснащение'!C6+D13*'Ставки и оснащение'!C7+E13*'Ставки и оснащение'!C8+F13*'Ставки и оснащение'!C9+G13*'Ставки и оснащение'!C10+H13*'Ставки и оснащение'!C11+I13*'Ставки и оснащение'!C12+J13*'Ставки и оснащение'!C13)*(1+L13)</x:f>
        <x:v>109000</x:v>
      </x:c>
      <x:c r="O13" s="19" t="str">
        <x:v>6 принят</x:v>
      </x:c>
      <x:c r="P13" s="16" t="n">
        <x:v>4</x:v>
      </x:c>
      <x:c r="Q13" s="24" t="n">
        <x:f>K13+M13</x:f>
        <x:v>75</x:v>
      </x:c>
    </x:row>
    <x:row r="14">
      <x:c r="A14" s="21"/>
      <x:c r="B14" s="21" t="str">
        <x:v>ИТОГО</x:v>
      </x:c>
      <x:c r="C14" s="21" t="n">
        <x:f>SUM(C7:C13)</x:f>
        <x:v>64</x:v>
      </x:c>
      <x:c r="D14" s="21" t="n">
        <x:f>SUM(D7:D13)</x:f>
        <x:v>68</x:v>
      </x:c>
      <x:c r="E14" s="21" t="n">
        <x:f>SUM(E7:E13)</x:f>
        <x:v>88</x:v>
      </x:c>
      <x:c r="F14" s="21" t="n">
        <x:f>SUM(F7:F13)</x:f>
        <x:v>112</x:v>
      </x:c>
      <x:c r="G14" s="21" t="n">
        <x:f>SUM(G7:G13)</x:f>
        <x:v>96</x:v>
      </x:c>
      <x:c r="H14" s="21" t="n">
        <x:f>SUM(H7:H13)</x:f>
        <x:v>48</x:v>
      </x:c>
      <x:c r="I14" s="21" t="n">
        <x:f>SUM(I7:I13)</x:f>
        <x:v>88</x:v>
      </x:c>
      <x:c r="J14" s="21" t="n">
        <x:f>SUM(J7:J13)</x:f>
        <x:v>16</x:v>
      </x:c>
      <x:c r="K14" s="21" t="n">
        <x:f>SUM(K7:K13)</x:f>
        <x:v>580</x:v>
      </x:c>
      <x:c r="L14" s="21"/>
      <x:c r="M14" s="26" t="n">
        <x:f>SUM(M7:M13)</x:f>
        <x:v>135.6</x:v>
      </x:c>
      <x:c r="N14" s="29" t="n">
        <x:f>SUM(N7:N13)</x:f>
        <x:v>1040240</x:v>
      </x:c>
      <x:c r="O14" s="21"/>
      <x:c r="P14" s="21"/>
      <x:c r="Q14" s="26" t="n">
        <x:f>SUM(Q7:Q13)</x:f>
        <x:v>715.6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25" hidden="0" customWidth="1"/>
    <x:col min="2" max="2" width="33.75" hidden="0" customWidth="1"/>
    <x:col min="3" max="3" width="23.1299991607666" hidden="0" customWidth="1"/>
    <x:col min="4" max="4" width="12.5" hidden="0" customWidth="1"/>
    <x:col min="5" max="5" width="75" hidden="0" customWidth="1"/>
    <x:col min="6" max="6" width="70" hidden="0" customWidth="1"/>
    <x:col min="7" max="7" width="50" hidden="0" customWidth="1"/>
    <x:col min="8" max="8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Задание 4. Этапы и риски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42" customHeight="1">
      <x:c r="A6" s="15" t="str">
        <x:v>№</x:v>
      </x:c>
      <x:c r="B6" s="15" t="str">
        <x:v>Этап</x:v>
      </x:c>
      <x:c r="C6" s="15" t="str">
        <x:v>Период</x:v>
      </x:c>
      <x:c r="D6" s="15" t="str">
        <x:v>Активных недель</x:v>
      </x:c>
      <x:c r="E6" s="15" t="str">
        <x:v>Метод и обоснование</x:v>
      </x:c>
      <x:c r="F6" s="15" t="str">
        <x:v>Риск и влияние</x:v>
      </x:c>
      <x:c r="G6" s="15" t="str">
        <x:v>Основание резерва</x:v>
      </x:c>
      <x:c r="H6" s="15" t="str">
        <x:v>Результат</x:v>
      </x:c>
    </x:row>
    <x:row r="7" ht="95" customHeight="1">
      <x:c r="A7" s="16" t="n">
        <x:v>1</x:v>
      </x:c>
      <x:c r="B7" s="16" t="str">
        <x:v>Обследование</x:v>
      </x:c>
      <x:c r="C7" s="16" t="str">
        <x:v>Недели 1-2</x:v>
      </x:c>
      <x:c r="D7" s="16" t="n">
        <x:v>2</x:v>
      </x:c>
      <x:c r="E7" s="16" t="str">
        <x:v>Экспертная оценка: 4 встречи по 2 часа и подготовка требований каждой ролью.</x:v>
      </x:c>
      <x:c r="F7" s="16" t="str">
        <x:v>Неясный объект прогноза приводит к обучению на отгрузках вместо спроса.</x:v>
      </x:c>
      <x:c r="G7" s="16" t="str">
        <x:v>20% на уточнение единиц, границ и критериев.</x:v>
      </x:c>
      <x:c r="H7" s="16" t="str">
        <x:v>Утверждены перечень товаров, точки продаж и критерии пилота.</x:v>
      </x:c>
    </x:row>
    <x:row r="8" ht="95" customHeight="1">
      <x:c r="A8" s="4" t="n">
        <x:v>2</x:v>
      </x:c>
      <x:c r="B8" s="4" t="str">
        <x:v>Подготовка данных</x:v>
      </x:c>
      <x:c r="C8" s="4" t="str">
        <x:v>Недели 3-4</x:v>
      </x:c>
      <x:c r="D8" s="4" t="n">
        <x:v>2</x:v>
      </x:c>
      <x:c r="E8" s="4" t="str">
        <x:v>Параметрическая оценка: 3 товара, 3 выгрузки и 12 проверок; 32 часа инженера данных.</x:v>
      </x:c>
      <x:c r="F8" s="4" t="str">
        <x:v>Пропуски и дефицит занижают спрос; исправление архива задерживает обучение.</x:v>
      </x:c>
      <x:c r="G8" s="4" t="str">
        <x:v>30% на повторную выгрузку и разметку дефицита.</x:v>
      </x:c>
      <x:c r="H8" s="4" t="str">
        <x:v>Проверенный архив, права доступа, отчёт о полноте.</x:v>
      </x:c>
    </x:row>
    <x:row r="9" ht="95" customHeight="1">
      <x:c r="A9" s="16" t="n">
        <x:v>3</x:v>
      </x:c>
      <x:c r="B9" s="16" t="str">
        <x:v>Проверка модели</x:v>
      </x:c>
      <x:c r="C9" s="16" t="str">
        <x:v>Недели 5-6</x:v>
      </x:c>
      <x:c r="D9" s="16" t="n">
        <x:v>2</x:v>
      </x:c>
      <x:c r="E9" s="16" t="str">
        <x:v>Экспертная оценка: 3 настройки регуляризации, 2 метода и временная проверка; 40 часов аналитика.</x:v>
      </x:c>
      <x:c r="F9" s="16" t="str">
        <x:v>Подсказка будущих продаж завышает качество; модель может не превзойти простой метод.</x:v>
      </x:c>
      <x:c r="G9" s="16" t="str">
        <x:v>25% на устранение утечек и повторную оценку.</x:v>
      </x:c>
      <x:c r="H9" s="16" t="str">
        <x:v>Сравнение с прошлой неделей на отложенных датах.</x:v>
      </x:c>
    </x:row>
    <x:row r="10" ht="95" customHeight="1">
      <x:c r="A10" s="4" t="n">
        <x:v>4</x:v>
      </x:c>
      <x:c r="B10" s="4" t="str">
        <x:v>Рабочий прототип</x:v>
      </x:c>
      <x:c r="C10" s="4" t="str">
        <x:v>Недели 7-10</x:v>
      </x:c>
      <x:c r="D10" s="4" t="n">
        <x:v>4</x:v>
      </x:c>
      <x:c r="E10" s="4" t="str">
        <x:v>Параметрическая оценка: 4 функции интерфейса по 16 часов разработчика, 24 часа испытаний.</x:v>
      </x:c>
      <x:c r="F10" s="4" t="str">
        <x:v>Неверная дата годности вызывает ошибочную рекомендацию по выпуску.</x:v>
      </x:c>
      <x:c r="G10" s="4" t="str">
        <x:v>20% на обработку крайних случаев и проверку экспорта.</x:v>
      </x:c>
      <x:c r="H10" s="4" t="str">
        <x:v>Импорт, прогноз, проверка остатков, журнал подтверждений.</x:v>
      </x:c>
    </x:row>
    <x:row r="11" ht="95" customHeight="1">
      <x:c r="A11" s="16" t="n">
        <x:v>5</x:v>
      </x:c>
      <x:c r="B11" s="16" t="str">
        <x:v>Опытная эксплуатация</x:v>
      </x:c>
      <x:c r="C11" s="16" t="str">
        <x:v>Недели 11-18</x:v>
      </x:c>
      <x:c r="D11" s="16" t="n">
        <x:v>8</x:v>
      </x:c>
      <x:c r="E11" s="16" t="str">
        <x:v>Экспертная оценка: 8 еженедельных наблюдений, сверка списаний и планов, 92 часа суммарно.</x:v>
      </x:c>
      <x:c r="F11" s="16" t="str">
        <x:v>Акции, праздники и смена ассортимента искажают сравнение; экономия может не подтвердиться.</x:v>
      </x:c>
      <x:c r="G11" s="16" t="str">
        <x:v>25% на дополнительную проверку причин отклонений.</x:v>
      </x:c>
      <x:c r="H11" s="16" t="str">
        <x:v>Протокол испытаний и решение: продолжить, доработать или остановить.</x:v>
      </x:c>
    </x:row>
    <x:row r="12" ht="95" customHeight="1">
      <x:c r="A12" s="4" t="n">
        <x:v>6</x:v>
      </x:c>
      <x:c r="B12" s="4" t="str">
        <x:v>Ввод в эксплуатацию</x:v>
      </x:c>
      <x:c r="C12" s="4" t="str">
        <x:v>Недели 19-20</x:v>
      </x:c>
      <x:c r="D12" s="4" t="n">
        <x:v>2</x:v>
      </x:c>
      <x:c r="E12" s="4" t="str">
        <x:v>Экспертная оценка: перенос, обучение двух сотрудников, проверка восстановления, 68 часов.</x:v>
      </x:c>
      <x:c r="F12" s="4" t="str">
        <x:v>Устаревшая выгрузка приводит к ошибочному плану; возможен отказ оборудования.</x:v>
      </x:c>
      <x:c r="G12" s="4" t="str">
        <x:v>20% на восстановление и исправление доступа.</x:v>
      </x:c>
      <x:c r="H12" s="4" t="str">
        <x:v>Акт приёмки, инструкции, резервный ручной порядок.</x:v>
      </x:c>
    </x:row>
    <x:row r="13" ht="95" customHeight="1">
      <x:c r="A13" s="16" t="n">
        <x:v>7</x:v>
      </x:c>
      <x:c r="B13" s="16" t="str">
        <x:v>Начальная поддержка</x:v>
      </x:c>
      <x:c r="C13" s="16" t="str">
        <x:v>Недели 21-24</x:v>
      </x:c>
      <x:c r="D13" s="16" t="n">
        <x:v>4</x:v>
      </x:c>
      <x:c r="E13" s="16" t="str">
        <x:v>Экспертная оценка: 4 обзора ошибок, один цикл обновления модели, 60 часов.</x:v>
      </x:c>
      <x:c r="F13" s="16" t="str">
        <x:v>Изменение спроса ухудшает прогноз, незаметное переобучение ломает воспроизводимость.</x:v>
      </x:c>
      <x:c r="G13" s="16" t="str">
        <x:v>25% на разбор дрейфа и откат модели.</x:v>
      </x:c>
      <x:c r="H13" s="16" t="str">
        <x:v>Отчёт поддержки, версия модели и передача сопровождения.</x:v>
      </x:c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7.5" hidden="0" customWidth="1"/>
    <x:col min="2" max="2" width="76.25" hidden="0" customWidth="1"/>
    <x:col min="3" max="3" width="87.5" hidden="0" customWidth="1"/>
  </x:cols>
  <x:sheetData>
    <x:row r="1">
      <x:c r="A1" s="2"/>
      <x:c r="B1" s="2"/>
      <x:c r="C1" s="2"/>
    </x:row>
    <x:row r="2" ht="32" customHeight="1">
      <x:c r="A2" s="3" t="str">
        <x:v>Задание 2. Готовность архива</x:v>
      </x:c>
      <x:c r="B2" s="2"/>
      <x:c r="C2" s="2"/>
    </x:row>
    <x:row r="3">
      <x:c r="A3" s="2"/>
      <x:c r="B3" s="2"/>
      <x:c r="C3" s="2"/>
    </x:row>
    <x:row r="4">
      <x:c r="A4" s="2" t="str">
        <x:v>Реальный архив не получен. Официальные источники приведены в отдельном разделе PDF.</x:v>
      </x:c>
      <x:c r="B4" s="2"/>
      <x:c r="C4" s="2"/>
    </x:row>
    <x:row r="5">
      <x:c r="A5" s="2"/>
      <x:c r="B5" s="2"/>
      <x:c r="C5" s="2"/>
    </x:row>
    <x:row r="6" ht="42" customHeight="1">
      <x:c r="A6" s="15" t="str">
        <x:v>Пункт чек-листа</x:v>
      </x:c>
      <x:c r="B6" s="15" t="str">
        <x:v>Ответ</x:v>
      </x:c>
      <x:c r="C6" s="15" t="str">
        <x:v>Обоснование</x:v>
      </x:c>
    </x:row>
    <x:row r="7" ht="76" customHeight="1">
      <x:c r="A7" s="16" t="str">
        <x:v>Что прогнозируем?</x:v>
      </x:c>
      <x:c r="B7" s="16" t="str">
        <x:v>Продажи без дефицита как наблюдаемый спрос по каждому товару.</x:v>
      </x:c>
      <x:c r="C7" s="16" t="str">
        <x:v>Единица - упаковка конкретного товара в день. Отгрузки и розничные продажи смешивать нельзя.</x:v>
      </x:c>
    </x:row>
    <x:row r="8" ht="76" customHeight="1">
      <x:c r="A8" s="4" t="str">
        <x:v>Достаточно ли истории?</x:v>
      </x:c>
      <x:c r="B8" s="4" t="str">
        <x:v>Реальный архив пока не получен; запросить 24 месяца.</x:v>
      </x:c>
      <x:c r="C8" s="4" t="str">
        <x:v>730 искусственных дней проверяют программу, но не доказывают готовность предприятия. 180 дней - технический минимум загрузки, а не достаточность сезона.</x:v>
      </x:c>
    </x:row>
    <x:row r="9" ht="76" customHeight="1">
      <x:c r="A9" s="16" t="str">
        <x:v>Откуда данные?</x:v>
      </x:c>
      <x:c r="B9" s="16" t="str">
        <x:v>Учётная система, заказы, остатки, списания и календарь акций.</x:v>
      </x:c>
      <x:c r="C9" s="16" t="str">
        <x:v>Выгрузки согласуются с владельцами продаж и склада. Внешний сервис в демонстрации не используется.</x:v>
      </x:c>
    </x:row>
    <x:row r="10" ht="76" customHeight="1">
      <x:c r="A10" s="4" t="str">
        <x:v>Нужна ли разметка?</x:v>
      </x:c>
      <x:c r="B10" s="4" t="str">
        <x:v>Да: отсутствие товара, акция, возврат, ошибочная запись.</x:v>
      </x:c>
      <x:c r="C10" s="4" t="str">
        <x:v>Ответственный сотрудник сверяет признаки с первичными документами. Ноль продаж не равен отсутствию товара.</x:v>
      </x:c>
    </x:row>
    <x:row r="11" ht="76" customHeight="1">
      <x:c r="A11" s="16" t="str">
        <x:v>Как учесть скрытый спрос?</x:v>
      </x:c>
      <x:c r="B11" s="16" t="str">
        <x:v>Дни дефицита исключаются из целевых наблюдений и оценки.</x:v>
      </x:c>
      <x:c r="C11" s="16" t="str">
        <x:v>Прошлые значения для признаков заменяются медианой доступных прошлых дней. Скрытый спрос не восстанавливается достоверно.</x:v>
      </x:c>
    </x:row>
    <x:row r="12" ht="76" customHeight="1">
      <x:c r="A12" s="4" t="str">
        <x:v>Как учесть возвраты?</x:v>
      </x:c>
      <x:c r="B12" s="4" t="str">
        <x:v>Отдельным движением, без отрицательных продаж.</x:v>
      </x:c>
      <x:c r="C12" s="4" t="str">
        <x:v>Выгрузку отрицательных значений прототип отклоняет. Причину возврата проверяют до включения в экономику.</x:v>
      </x:c>
    </x:row>
    <x:row r="13" ht="76" customHeight="1">
      <x:c r="A13" s="16" t="str">
        <x:v>Есть ли смещение?</x:v>
      </x:c>
      <x:c r="B13" s="16" t="str">
        <x:v>Вероятно: ассортимент, каналы, праздничные дни и акции.</x:v>
      </x:c>
      <x:c r="C13" s="16" t="str">
        <x:v>Нужна оценка по товарам, каналам и периодам. Три учебных товара не представляют весь рынок.</x:v>
      </x:c>
    </x:row>
    <x:row r="14" ht="76" customHeight="1">
      <x:c r="A14" s="4" t="str">
        <x:v>Как проверяется качество?</x:v>
      </x:c>
      <x:c r="B14" s="4" t="str">
        <x:v>Средняя абсолютная и относительная ошибки на последующих датах.</x:v>
      </x:c>
      <x:c r="C14" s="4" t="str">
        <x:v>Случайного перемешивания нет. Семидневный прогноз строится целиком из прошлого и известного плана акций.</x:v>
      </x:c>
    </x:row>
    <x:row r="15" ht="76" customHeight="1">
      <x:c r="A15" s="16" t="str">
        <x:v>С чем сравниваем?</x:v>
      </x:c>
      <x:c r="B15" s="16" t="str">
        <x:v>Продажи того же дня прошлой недели.</x:v>
      </x:c>
      <x:c r="C15" s="16" t="str">
        <x:v>Если модель хуже на проверочном периоде, используется простой прогноз. Итоговые даты не участвуют в выборе.</x:v>
      </x:c>
    </x:row>
    <x:row r="16" ht="76" customHeight="1">
      <x:c r="A16" s="4" t="str">
        <x:v>Как учитывается годность?</x:v>
      </x:c>
      <x:c r="B16" s="4" t="str">
        <x:v>По партии, дате и выбранному товару.</x:v>
      </x:c>
      <x:c r="C16" s="4" t="str">
        <x:v>Партии с истёкшим сроком не покрывают выпуск на завтра. Срок не устанавливается моделью.</x:v>
      </x:c>
    </x:row>
    <x:row r="17" ht="76" customHeight="1">
      <x:c r="A17" s="16" t="str">
        <x:v>Есть ли права на данные?</x:v>
      </x:c>
      <x:c r="B17" s="16" t="str">
        <x:v>Не подтверждены для реального архива.</x:v>
      </x:c>
      <x:c r="C17" s="16" t="str">
        <x:v>До получения выгрузки согласовать цель, доступ, срок хранения и право на обучение. Персональные данные не нужны модели спроса.</x:v>
      </x:c>
    </x:row>
    <x:row r="18" ht="76" customHeight="1">
      <x:c r="A18" s="4" t="str">
        <x:v>Готова ли инфраструктура?</x:v>
      </x:c>
      <x:c r="B18" s="4" t="str">
        <x:v>На компьютере работает локальная демонстрация.</x:v>
      </x:c>
      <x:c r="C18" s="4" t="str">
        <x:v>Производственная система требует регулярной выгрузки, копий, доступа, контроля свежести и ответственного сотрудника.</x:v>
      </x:c>
    </x:row>
    <x:row r="19" ht="76" customHeight="1">
      <x:c r="A19" s="16" t="str">
        <x:v>Можно ли без ИИ?</x:v>
      </x:c>
      <x:c r="B19" s="16" t="str">
        <x:v>Да: недельный прогноз и ручной план в таблице.</x:v>
      </x:c>
      <x:c r="C19" s="16" t="str">
        <x:v>Они дешевле. Их точность и трудозатраты должны быть проверены прежде, чем оправдывать модель.</x:v>
      </x:c>
    </x:row>
    <x:row r="20" ht="76" customHeight="1">
      <x:c r="A20" s="4" t="str">
        <x:v>Есть ли готовые решения?</x:v>
      </x:c>
      <x:c r="B20" s="4" t="str">
        <x:v>1С:Предприятие 8. Молокозавод и отраслевые модули.</x:v>
      </x:c>
      <x:c r="C20" s="4" t="str">
        <x:v>Официально описаны планирование и учёт сроков. Доступность нужной функции в конкретной версии и стоимость проверяются у поставщика.</x:v>
      </x:c>
    </x:row>
    <x:row r="21" ht="76" customHeight="1">
      <x:c r="A21" s="16" t="str">
        <x:v>Как избежать ошибочного решения?</x:v>
      </x:c>
      <x:c r="B21" s="16" t="str">
        <x:v>Рекомендацию подтверждает технолог или планировщик.</x:v>
      </x:c>
      <x:c r="C21" s="16" t="str">
        <x:v>Модель не запускает оборудование. При отсутствии архива либо нарушении критериев применяется ручной порядок.</x:v>
      </x:c>
    </x:row>
    <x:row r="22">
      <x:c r="A22" s="2"/>
      <x:c r="B22" s="2"/>
      <x:c r="C22" s="2"/>
    </x:row>
    <x:row r="23">
      <x:c r="A23" s="2"/>
      <x:c r="B23" s="2"/>
      <x:c r="C23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.75" hidden="0" customWidth="1"/>
    <x:col min="2" max="2" width="96.25" hidden="0" customWidth="1"/>
    <x:col min="3" max="3" width="37.5" hidden="0" customWidth="1"/>
    <x:col min="4" max="4" width="42.5" hidden="0" customWidth="1"/>
    <x:col min="5" max="5" width="48.75" hidden="0" customWidth="1"/>
    <x:col min="6" max="6" width="33.75" hidden="0" customWidth="1"/>
  </x:cols>
  <x:sheetData>
    <x:row r="1">
      <x:c r="A1" s="2"/>
      <x:c r="B1" s="2"/>
      <x:c r="C1" s="2"/>
      <x:c r="D1" s="2"/>
      <x:c r="E1" s="2"/>
      <x:c r="F1" s="2"/>
    </x:row>
    <x:row r="2" ht="32" customHeight="1">
      <x:c r="A2" s="3" t="str">
        <x:v>Задание 5. Документы и согласование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42" customHeight="1">
      <x:c r="A6" s="15" t="str">
        <x:v>Документ</x:v>
      </x:c>
      <x:c r="B6" s="15" t="str">
        <x:v>Суть и цель</x:v>
      </x:c>
      <x:c r="C6" s="15" t="str">
        <x:v>Применимость</x:v>
      </x:c>
      <x:c r="D6" s="15" t="str">
        <x:v>Основная роль</x:v>
      </x:c>
      <x:c r="E6" s="15" t="str">
        <x:v>Согласование и подпись</x:v>
      </x:c>
      <x:c r="F6" s="15" t="str">
        <x:v>Этап</x:v>
      </x:c>
    </x:row>
    <x:row r="7" ht="100" customHeight="1">
      <x:c r="A7" s="16" t="str">
        <x:v>Соглашение о неразглашении</x:v>
      </x:c>
      <x:c r="B7" s="16" t="str">
        <x:v>Определяет, какие сведения о продажах и производстве являются конфиденциальными. Устанавливает правила доступа, передачи и возврата файлов.</x:v>
      </x:c>
      <x:c r="C7" s="16" t="str">
        <x:v>До реальной выгрузки</x:v>
      </x:c>
      <x:c r="D7" s="16" t="str">
        <x:v>Юрист</x:v>
      </x:c>
      <x:c r="E7" s="16" t="str">
        <x:v>Заказчик и исполнитель</x:v>
      </x:c>
      <x:c r="F7" s="16" t="str">
        <x:v>Обследование</x:v>
      </x:c>
    </x:row>
    <x:row r="8" ht="100" customHeight="1">
      <x:c r="A8" s="4" t="str">
        <x:v>Техническое задание</x:v>
      </x:c>
      <x:c r="B8" s="4" t="str">
        <x:v>Закрепляет товары, единицы, функции и показатели приёмки. Отделяет прогноз продаж от производственного расписания и фиксирует роль подтверждающего сотрудника.</x:v>
      </x:c>
      <x:c r="C8" s="4" t="str">
        <x:v>Обязательно до разработки</x:v>
      </x:c>
      <x:c r="D8" s="4" t="str">
        <x:v>Руководитель и технолог</x:v>
      </x:c>
      <x:c r="E8" s="4" t="str">
        <x:v>Руководители сторон</x:v>
      </x:c>
      <x:c r="F8" s="4" t="str">
        <x:v>После обследования</x:v>
      </x:c>
    </x:row>
    <x:row r="9" ht="100" customHeight="1">
      <x:c r="A9" s="16" t="str">
        <x:v>Договор разработки</x:v>
      </x:c>
      <x:c r="B9" s="16" t="str">
        <x:v>Устанавливает объём, этапы, оплату и порядок сдачи. Определяет права на код и пределы ответственности за рекомендации.</x:v>
      </x:c>
      <x:c r="C9" s="16" t="str">
        <x:v>Для производственного проекта</x:v>
      </x:c>
      <x:c r="D9" s="16" t="str">
        <x:v>Юрист</x:v>
      </x:c>
      <x:c r="E9" s="16" t="str">
        <x:v>Уполномоченные представители сторон</x:v>
      </x:c>
      <x:c r="F9" s="16" t="str">
        <x:v>До платных работ</x:v>
      </x:c>
    </x:row>
    <x:row r="10" ht="100" customHeight="1">
      <x:c r="A10" s="4" t="str">
        <x:v>Соглашение об использовании данных</x:v>
      </x:c>
      <x:c r="B10" s="4" t="str">
        <x:v>Даёт право использовать согласованные выгрузки для обучения и проверки. Устанавливает допустимые цели, срок хранения, удаление и запрет передачи без согласования.</x:v>
      </x:c>
      <x:c r="C10" s="4" t="str">
        <x:v>Для архива заказчика и внешних источников</x:v>
      </x:c>
      <x:c r="D10" s="4" t="str">
        <x:v>Инженер данных и юрист</x:v>
      </x:c>
      <x:c r="E10" s="4" t="str">
        <x:v>Владелец данных и исполнитель</x:v>
      </x:c>
      <x:c r="F10" s="4" t="str">
        <x:v>До подготовки архива</x:v>
      </x:c>
    </x:row>
    <x:row r="11" ht="100" customHeight="1">
      <x:c r="A11" s="16" t="str">
        <x:v>Соглашение об уровне обслуживания</x:v>
      </x:c>
      <x:c r="B11" s="16" t="str">
        <x:v>Фиксирует доступность сервиса, свежесть выгрузки, время ответа и восстановление. Предлагаемые цели: 99% рабочего времени, ответ до 60 секунд и восстановление до 8 рабочих часов; договором пока не подтверждены.</x:v>
      </x:c>
      <x:c r="C11" s="16" t="str">
        <x:v>После согласования инфраструктуры</x:v>
      </x:c>
      <x:c r="D11" s="16" t="str">
        <x:v>Администратор</x:v>
      </x:c>
      <x:c r="E11" s="16" t="str">
        <x:v>Технический представитель заказчика</x:v>
      </x:c>
      <x:c r="F11" s="16" t="str">
        <x:v>Перед вводом</x:v>
      </x:c>
    </x:row>
    <x:row r="12" ht="100" customHeight="1">
      <x:c r="A12" s="4" t="str">
        <x:v>Правила использования модели</x:v>
      </x:c>
      <x:c r="B12" s="4" t="str">
        <x:v>Определяют, кто подтверждает план и когда применяется ручной расчёт. Запрещают трактовать прогноз как гарантию спроса и фиксируют журнал корректировок.</x:v>
      </x:c>
      <x:c r="C12" s="4" t="str">
        <x:v>Обязательно для пользователей</x:v>
      </x:c>
      <x:c r="D12" s="4" t="str">
        <x:v>Технолог и аналитик модели</x:v>
      </x:c>
      <x:c r="E12" s="4" t="str">
        <x:v>Руководитель производства</x:v>
      </x:c>
      <x:c r="F12" s="4" t="str">
        <x:v>Перед опытной эксплуатацией</x:v>
      </x:c>
    </x:row>
    <x:row r="13" ht="100" customHeight="1">
      <x:c r="A13" s="16" t="str">
        <x:v>Поручение на обработку персональных данных</x:v>
      </x:c>
      <x:c r="B13" s="16" t="str">
        <x:v>Применяется, если исполнитель обрабатывает персональные данные по поручению заказчика. Определяет перечень, действия, цели и меры защиты с учётом действующего закона.</x:v>
      </x:c>
      <x:c r="C13" s="16" t="str">
        <x:v>Условно: в демонстрации таких данных нет</x:v>
      </x:c>
      <x:c r="D13" s="16" t="str">
        <x:v>Юрист</x:v>
      </x:c>
      <x:c r="E13" s="16" t="str">
        <x:v>Оператор и исполнитель</x:v>
      </x:c>
      <x:c r="F13" s="16" t="str">
        <x:v>До получения таких данных</x:v>
      </x:c>
    </x:row>
    <x:row r="14" ht="100" customHeight="1">
      <x:c r="A14" s="4" t="str">
        <x:v>Протокол и акт испытаний</x:v>
      </x:c>
      <x:c r="B14" s="4" t="str">
        <x:v>Закрепляет периоды, критерии и источники измерения списаний и дефицита. Фиксирует результаты и решение о приёмке либо доработке.</x:v>
      </x:c>
      <x:c r="C14" s="4" t="str">
        <x:v>Для опытной эксплуатации</x:v>
      </x:c>
      <x:c r="D14" s="4" t="str">
        <x:v>Испытатель и технолог</x:v>
      </x:c>
      <x:c r="E14" s="4" t="str">
        <x:v>Комиссия заказчика и руководитель</x:v>
      </x:c>
      <x:c r="F14" s="4" t="str">
        <x:v>Пилот и приёмка</x:v>
      </x:c>
    </x:row>
    <x:row r="15" ht="100" customHeight="1">
      <x:c r="A15" s="16" t="str">
        <x:v>Регламент сопровождения</x:v>
      </x:c>
      <x:c r="B15" s="16" t="str">
        <x:v>Определяет обновление модели, контроль ошибок, копирование и откат. Устанавливает ответственных и порядок прекращения использования ошибочной версии.</x:v>
      </x:c>
      <x:c r="C15" s="16" t="str">
        <x:v>Для регулярной работы</x:v>
      </x:c>
      <x:c r="D15" s="16" t="str">
        <x:v>Администратор и аналитик модели</x:v>
      </x:c>
      <x:c r="E15" s="16" t="str">
        <x:v>Технический представитель заказчика</x:v>
      </x:c>
      <x:c r="F15" s="16" t="str">
        <x:v>Перед передачей сопровождения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47.5" hidden="0" customWidth="1"/>
    <x:col min="2" max="2" width="42.5" hidden="0" customWidth="1"/>
    <x:col min="3" max="3" width="20" hidden="0" customWidth="1"/>
    <x:col min="4" max="4" width="23.1299991607666" hidden="0" customWidth="1"/>
  </x:cols>
  <x:sheetData>
    <x:row r="1">
      <x:c r="A1" s="2"/>
      <x:c r="B1" s="2"/>
      <x:c r="C1" s="2"/>
      <x:c r="D1" s="2"/>
    </x:row>
    <x:row r="2" ht="32" customHeight="1">
      <x:c r="A2" s="3" t="str">
        <x:v>Учебные ставки и оснащение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 t="str">
        <x:v>Все цены условные, без НДС. Доступность команды требует согласования.</x:v>
      </x:c>
      <x:c r="B4" s="2"/>
      <x:c r="C4" s="2"/>
      <x:c r="D4" s="2"/>
    </x:row>
    <x:row r="5" ht="42" customHeight="1">
      <x:c r="A5" s="15" t="str">
        <x:v>Код роли</x:v>
      </x:c>
      <x:c r="B5" s="15" t="str">
        <x:v>Роль</x:v>
      </x:c>
      <x:c r="C5" s="15" t="str">
        <x:v>руб./ч.</x:v>
      </x:c>
      <x:c r="D5" s="15" t="str">
        <x:v>ч./активную неделю</x:v>
      </x:c>
    </x:row>
    <x:row r="6" ht="36" customHeight="1">
      <x:c r="A6" s="16" t="n">
        <x:v>1</x:v>
      </x:c>
      <x:c r="B6" s="16" t="str">
        <x:v>Руководитель</x:v>
      </x:c>
      <x:c r="C6" s="30" t="n">
        <x:v>1400</x:v>
      </x:c>
      <x:c r="D6" s="30" t="n">
        <x:v>10</x:v>
      </x:c>
    </x:row>
    <x:row r="7" ht="36" customHeight="1">
      <x:c r="A7" s="4" t="n">
        <x:v>2</x:v>
      </x:c>
      <x:c r="B7" s="4" t="str">
        <x:v>Технолог</x:v>
      </x:c>
      <x:c r="C7" s="5" t="n">
        <x:v>1200</x:v>
      </x:c>
      <x:c r="D7" s="5" t="n">
        <x:v>12</x:v>
      </x:c>
    </x:row>
    <x:row r="8" ht="36" customHeight="1">
      <x:c r="A8" s="16" t="n">
        <x:v>3</x:v>
      </x:c>
      <x:c r="B8" s="16" t="str">
        <x:v>Инженер данных</x:v>
      </x:c>
      <x:c r="C8" s="30" t="n">
        <x:v>1400</x:v>
      </x:c>
      <x:c r="D8" s="30" t="n">
        <x:v>28</x:v>
      </x:c>
    </x:row>
    <x:row r="9" ht="36" customHeight="1">
      <x:c r="A9" s="4" t="n">
        <x:v>4</x:v>
      </x:c>
      <x:c r="B9" s="4" t="str">
        <x:v>Аналитик модели</x:v>
      </x:c>
      <x:c r="C9" s="5" t="n">
        <x:v>1800</x:v>
      </x:c>
      <x:c r="D9" s="5" t="n">
        <x:v>28</x:v>
      </x:c>
    </x:row>
    <x:row r="10" ht="36" customHeight="1">
      <x:c r="A10" s="16" t="n">
        <x:v>5</x:v>
      </x:c>
      <x:c r="B10" s="16" t="str">
        <x:v>Разработчик</x:v>
      </x:c>
      <x:c r="C10" s="30" t="n">
        <x:v>1600</x:v>
      </x:c>
      <x:c r="D10" s="30" t="n">
        <x:v>24</x:v>
      </x:c>
    </x:row>
    <x:row r="11" ht="36" customHeight="1">
      <x:c r="A11" s="4" t="n">
        <x:v>6</x:v>
      </x:c>
      <x:c r="B11" s="4" t="str">
        <x:v>Администратор</x:v>
      </x:c>
      <x:c r="C11" s="5" t="n">
        <x:v>1600</x:v>
      </x:c>
      <x:c r="D11" s="5" t="n">
        <x:v>16</x:v>
      </x:c>
    </x:row>
    <x:row r="12" ht="36" customHeight="1">
      <x:c r="A12" s="16" t="n">
        <x:v>7</x:v>
      </x:c>
      <x:c r="B12" s="16" t="str">
        <x:v>Испытатель</x:v>
      </x:c>
      <x:c r="C12" s="30" t="n">
        <x:v>1000</x:v>
      </x:c>
      <x:c r="D12" s="30" t="n">
        <x:v>16</x:v>
      </x:c>
    </x:row>
    <x:row r="13" ht="36" customHeight="1">
      <x:c r="A13" s="4" t="n">
        <x:v>8</x:v>
      </x:c>
      <x:c r="B13" s="4" t="str">
        <x:v>Юрист</x:v>
      </x:c>
      <x:c r="C13" s="5" t="n">
        <x:v>1800</x:v>
      </x:c>
      <x:c r="D13" s="5" t="n">
        <x:v>8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 ht="42" customHeight="1">
      <x:c r="A19" s="15" t="str">
        <x:v>Оснащение</x:v>
      </x:c>
      <x:c r="B19" s="15" t="str">
        <x:v>Количество</x:v>
      </x:c>
      <x:c r="C19" s="15" t="str">
        <x:v>руб./ед.</x:v>
      </x:c>
      <x:c r="D19" s="15" t="str">
        <x:v>Стоимость, руб.</x:v>
      </x:c>
    </x:row>
    <x:row r="20" ht="48" customHeight="1">
      <x:c r="A20" s="16" t="str">
        <x:v>Локальный сервер</x:v>
      </x:c>
      <x:c r="B20" s="30" t="n">
        <x:v>1</x:v>
      </x:c>
      <x:c r="C20" s="31" t="n">
        <x:v>45000</x:v>
      </x:c>
      <x:c r="D20" s="27" t="n">
        <x:f>B20*C20</x:f>
        <x:v>45000</x:v>
      </x:c>
    </x:row>
    <x:row r="21" ht="48" customHeight="1">
      <x:c r="A21" s="4" t="str">
        <x:v>Источник бесперебойного питания</x:v>
      </x:c>
      <x:c r="B21" s="5" t="n">
        <x:v>1</x:v>
      </x:c>
      <x:c r="C21" s="32" t="n">
        <x:v>12000</x:v>
      </x:c>
      <x:c r="D21" s="28" t="n">
        <x:f>B21*C21</x:f>
        <x:v>12000</x:v>
      </x:c>
    </x:row>
    <x:row r="22" ht="48" customHeight="1">
      <x:c r="A22" s="16" t="str">
        <x:v>Носитель резервных копий</x:v>
      </x:c>
      <x:c r="B22" s="30" t="n">
        <x:v>1</x:v>
      </x:c>
      <x:c r="C22" s="31" t="n">
        <x:v>10000</x:v>
      </x:c>
      <x:c r="D22" s="27" t="n">
        <x:f>B22*C22</x:f>
        <x:v>10000</x:v>
      </x:c>
    </x:row>
    <x:row r="23">
      <x:c r="A23" s="2" t="str">
        <x:v>ИТОГО</x:v>
      </x:c>
      <x:c r="B23" s="2"/>
      <x:c r="C23" s="8"/>
      <x:c r="D23" s="8" t="n">
        <x:f>SUM(D20:D22)</x:f>
        <x:v>67000</x:v>
      </x:c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 t="str">
        <x:v>При использовании оборудования заказчика заменить стоимость согласованными значениями.</x:v>
      </x:c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</x:sheetData>
  <x:pageMargins left="0.7" right="0.7" top="0.75" bottom="0.75" header="0.3" footer="0.3"/>
</x:worksheet>
</file>
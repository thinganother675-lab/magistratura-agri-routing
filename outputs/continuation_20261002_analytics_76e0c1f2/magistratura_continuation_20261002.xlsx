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cf50a9c81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ршруты DEV" sheetId="1" r:id="R478e2ae361f44eb4"/>
    <x:sheet xmlns:r="http://schemas.openxmlformats.org/officeDocument/2006/relationships" name="Новые локальные" sheetId="2" r:id="R6f8ef70673ac444f"/>
    <x:sheet xmlns:r="http://schemas.openxmlformats.org/officeDocument/2006/relationships" name="OpenRouter21" sheetId="3" r:id="R4ace50fd850f44cf"/>
    <x:sheet xmlns:r="http://schemas.openxmlformats.org/officeDocument/2006/relationships" name="История45" sheetId="4" r:id="R85bd8d6401514ff7"/>
    <x:sheet xmlns:r="http://schemas.openxmlformats.org/officeDocument/2006/relationships" name="Методика" sheetId="5" r:id="R140e9d144d48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00000"/>
    <x:numFmt numFmtId="202" formatCode="0.000"/>
    <x:numFmt numFmtId="203" formatCode="0.00"/>
  </x:numFmts>
  <x:fonts count="5">
    <x:font>
      <x:sz val="11"/>
      <x:name val="Carlito"/>
    </x:font>
    <x:font>
      <x:sz val="11"/>
      <x:color rgb="FF172B3A"/>
      <x:name val="Arial"/>
    </x:font>
    <x:font>
      <x:b/>
      <x:sz val="15"/>
      <x:color rgb="FF253F5B"/>
      <x:name val="Arial"/>
    </x:font>
    <x:font>
      <x:i/>
      <x:sz val="11"/>
      <x:color rgb="FF53657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F5B"/>
      </x:patternFill>
    </x:fill>
  </x:fills>
  <x:borders count="5">
    <x:border/>
    <x:border>
      <x:bottom style="thin">
        <x:color rgb="FFA8B6C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4"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b3f29176a4dc4" /><Relationship Type="http://schemas.openxmlformats.org/officeDocument/2006/relationships/theme" Target="/xl/theme/theme1.xml" Id="Rdcebef9127fd48b3" /><Relationship Type="http://schemas.microsoft.com/office/2022/11/relationships/FeaturePropertyBag" Target="/xl/featurePropertyBag/featurePropertyBag.xml" Id="Rcddc2a868be3479a" /><Relationship Type="http://schemas.openxmlformats.org/officeDocument/2006/relationships/sharedStrings" Target="/xl/sharedStrings.xml" Id="Rbf59f9bc7c014a46" /><Relationship Type="http://schemas.openxmlformats.org/officeDocument/2006/relationships/worksheet" Target="/xl/worksheets/sheet1.xml" Id="R478e2ae361f44eb4" /><Relationship Type="http://schemas.openxmlformats.org/officeDocument/2006/relationships/worksheet" Target="/xl/worksheets/sheet2.xml" Id="R6f8ef70673ac444f" /><Relationship Type="http://schemas.openxmlformats.org/officeDocument/2006/relationships/worksheet" Target="/xl/worksheets/sheet3.xml" Id="R4ace50fd850f44cf" /><Relationship Type="http://schemas.openxmlformats.org/officeDocument/2006/relationships/worksheet" Target="/xl/worksheets/sheet4.xml" Id="R85bd8d6401514ff7" /><Relationship Type="http://schemas.openxmlformats.org/officeDocument/2006/relationships/worksheet" Target="/xl/worksheets/sheet5.xml" Id="R140e9d144d484a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tinuation2e8a4b96" displayName="Continuation2e8a4b96" ref="A6:AT12" headerRowCount="1" totalsRowCount="0" totalsRowShown="0">
  <x:autoFilter ref="A6:AT12"/>
  <x:tableColumns count="46">
    <x:tableColumn id="1" name="Политика"/>
    <x:tableColumn id="2" name="N план"/>
    <x:tableColumn id="3" name="N записан"/>
    <x:tableColumn id="4" name="Верно"/>
    <x:tableColumn id="5" name="Качество / N план"/>
    <x:tableColumn id="6" name="Ошибки решения"/>
    <x:tableColumn id="7" name="Ошибки router"/>
    <x:tableColumn id="8" name="До HTTP blocked N"/>
    <x:tableColumn id="9" name="Local calls"/>
    <x:tableColumn id="10" name="Cloud generation"/>
    <x:tableColumn id="11" name="Hosted router calls"/>
    <x:tableColumn id="12" name="Все внешние requests"/>
    <x:tableColumn id="13" name="Tool calls"/>
    <x:tableColumn id="14" name="Clarify"/>
    <x:tableColumn id="15" name="Abstain"/>
    <x:tableColumn id="16" name="Известно USD"/>
    <x:tableColumn id="17" name="Unknown cost events"/>
    <x:tableColumn id="18" name="USD / N план известно"/>
    <x:tableColumn id="19" name="Среднее E2E, с"/>
    <x:tableColumn id="20" name="p50 E2E, с"/>
    <x:tableColumn id="21" name="p95 E2E, с"/>
    <x:tableColumn id="22" name="Success mean, с"/>
    <x:tableColumn id="23" name="Success p50, с"/>
    <x:tableColumn id="24" name="Success p95, с"/>
    <x:tableColumn id="25" name="Router p50, ms"/>
    <x:tableColumn id="26" name="Local input"/>
    <x:tableColumn id="27" name="Local output"/>
    <x:tableColumn id="28" name="Local input coverage"/>
    <x:tableColumn id="29" name="Local output coverage"/>
    <x:tableColumn id="30" name="Cloud input"/>
    <x:tableColumn id="31" name="Cloud output"/>
    <x:tableColumn id="32" name="Cloud input coverage"/>
    <x:tableColumn id="33" name="Cloud output coverage"/>
    <x:tableColumn id="34" name="Router input"/>
    <x:tableColumn id="35" name="Router output"/>
    <x:tableColumn id="36" name="Router input coverage"/>
    <x:tableColumn id="37" name="Client TTFT p50, с"/>
    <x:tableColumn id="38" name="Client approx tok/s"/>
    <x:tableColumn id="39" name="Native backend tok/s"/>
    <x:tableColumn id="40" name="Laya RSS peak B"/>
    <x:tableColumn id="41" name="VRAM run-wide MiB"/>
    <x:tableColumn id="42" name="RAM run-wide GiB"/>
    <x:tableColumn id="43" name="По языкам"/>
    <x:tableColumn id="44" name="По категориям"/>
    <x:tableColumn id="45" name="Источник"/>
    <x:tableColumn id="46" name="SHA256 источни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inuation2d63e241" displayName="Continuation2d63e241" ref="A6:AJ10" headerRowCount="1" totalsRowCount="0" totalsRowShown="0">
  <x:autoFilter ref="A6:AJ10"/>
  <x:tableColumns count="36">
    <x:tableColumn id="1" name="Модель"/>
    <x:tableColumn id="2" name="Runtime"/>
    <x:tableColumn id="3" name="Test status"/>
    <x:tableColumn id="4" name="Load success"/>
    <x:tableColumn id="5" name="N"/>
    <x:tableColumn id="6" name="Верно"/>
    <x:tableColumn id="7" name="Качество"/>
    <x:tableColumn id="8" name="Ошибки"/>
    <x:tableColumn id="9" name="Input известно"/>
    <x:tableColumn id="10" name="Output известно"/>
    <x:tableColumn id="11" name="Reasoning известно"/>
    <x:tableColumn id="12" name="Input coverage N"/>
    <x:tableColumn id="13" name="Output coverage N"/>
    <x:tableColumn id="14" name="Reasoning coverage N"/>
    <x:tableColumn id="15" name="Среднее, с"/>
    <x:tableColumn id="16" name="p50, с"/>
    <x:tableColumn id="17" name="p95, с"/>
    <x:tableColumn id="18" name="Client TTFT p50, с"/>
    <x:tableColumn id="19" name="Первый answer p50, с"/>
    <x:tableColumn id="20" name="Client approx tok/s"/>
    <x:tableColumn id="21" name="Native backend tok/s"/>
    <x:tableColumn id="22" name="VRAM весь GPU MiB"/>
    <x:tableColumn id="23" name="RAM весь ПК GiB"/>
    <x:tableColumn id="24" name="Process RSS B"/>
    <x:tableColumn id="25" name="Main expected GiB"/>
    <x:tableColumn id="26" name="Квантование"/>
    <x:tableColumn id="27" name="Offload requested"/>
    <x:tableColumn id="28" name="Actual GPU layers"/>
    <x:tableColumn id="29" name="Cold load, с"/>
    <x:tableColumn id="30" name="HF repo"/>
    <x:tableColumn id="31" name="Revision"/>
    <x:tableColumn id="32" name="Expected main SHA256"/>
    <x:tableColumn id="33" name="Ограничения / статус"/>
    <x:tableColumn id="34" name="Weight validation"/>
    <x:tableColumn id="35" name="Источник"/>
    <x:tableColumn id="36" name="SHA256 источни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inuation9b6239b2" displayName="Continuation9b6239b2" ref="A6:AC27" headerRowCount="1" totalsRowCount="0" totalsRowShown="0">
  <x:autoFilter ref="A6:AC27"/>
  <x:tableColumns count="29">
    <x:tableColumn id="1" name="Requested display name"/>
    <x:tableColumn id="2" name="Actual model ID"/>
    <x:tableColumn id="3" name="Статус"/>
    <x:tableColumn id="4" name="Scope"/>
    <x:tableColumn id="5" name="Объём теста"/>
    <x:tableColumn id="6" name="Попыток"/>
    <x:tableColumn id="7" name="Успешных генераций"/>
    <x:tableColumn id="8" name="Верно"/>
    <x:tableColumn id="9" name="Качество попыток"/>
    <x:tableColumn id="10" name="Ошибки"/>
    <x:tableColumn id="11" name="Structured failures"/>
    <x:tableColumn id="12" name="Input известно"/>
    <x:tableColumn id="13" name="Output известно"/>
    <x:tableColumn id="14" name="Reasoning известно"/>
    <x:tableColumn id="15" name="Input coverage N"/>
    <x:tableColumn id="16" name="Output coverage N"/>
    <x:tableColumn id="17" name="Reasoning coverage N"/>
    <x:tableColumn id="18" name="Среднее, с"/>
    <x:tableColumn id="19" name="p50, с"/>
    <x:tableColumn id="20" name="p95, с"/>
    <x:tableColumn id="21" name="TTFT, с"/>
    <x:tableColumn id="22" name="tok/s"/>
    <x:tableColumn id="23" name="Reported cost USD"/>
    <x:tableColumn id="24" name="Unknown cost events"/>
    <x:tableColumn id="25" name="Pinned endpoint"/>
    <x:tableColumn id="26" name="Identity stability"/>
    <x:tableColumn id="27" name="Причина / ограничения"/>
    <x:tableColumn id="28" name="Источник"/>
    <x:tableColumn id="29" name="SHA256 источник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inuation21eec5b5" displayName="Continuation21eec5b5" ref="A6:AL51" headerRowCount="1" totalsRowCount="0" totalsRowShown="0">
  <x:autoFilter ref="A6:AL51"/>
  <x:tableColumns count="38">
    <x:tableColumn id="1" name="Модель"/>
    <x:tableColumn id="2" name="Серия"/>
    <x:tableColumn id="3" name="Выборка"/>
    <x:tableColumn id="4" name="Статус"/>
    <x:tableColumn id="5" name="N"/>
    <x:tableColumn id="6" name="Верно"/>
    <x:tableColumn id="7" name="Качество"/>
    <x:tableColumn id="8" name="Ошибки"/>
    <x:tableColumn id="9" name="Input известно"/>
    <x:tableColumn id="10" name="Output известно"/>
    <x:tableColumn id="11" name="Reasoning известно"/>
    <x:tableColumn id="12" name="Input coverage N"/>
    <x:tableColumn id="13" name="Output coverage N"/>
    <x:tableColumn id="14" name="Reasoning coverage N"/>
    <x:tableColumn id="15" name="Среднее, с"/>
    <x:tableColumn id="16" name="p50, с"/>
    <x:tableColumn id="17" name="p95, с"/>
    <x:tableColumn id="18" name="Client delta p50, с"/>
    <x:tableColumn id="19" name="Client answer p50, с"/>
    <x:tableColumn id="20" name="Client approx tok/s"/>
    <x:tableColumn id="21" name="Native TTFT p50, с"/>
    <x:tableColumn id="22" name="Native decode tok/s"/>
    <x:tableColumn id="23" name="VRAM весь GPU MiB"/>
    <x:tableColumn id="24" name="RAM весь ПК GiB"/>
    <x:tableColumn id="25" name="Каталог files GiB"/>
    <x:tableColumn id="26" name="Квантование"/>
    <x:tableColumn id="27" name="Offload requested"/>
    <x:tableColumn id="28" name="Actual GPU layers"/>
    <x:tableColumn id="29" name="Контекст"/>
    <x:tableColumn id="30" name="Parallel"/>
    <x:tableColumn id="31" name="Temperature requested"/>
    <x:tableColumn id="32" name="Max tokens"/>
    <x:tableColumn id="33" name="Seed"/>
    <x:tableColumn id="34" name="Cold load, с"/>
    <x:tableColumn id="35" name="Reasoning профиль"/>
    <x:tableColumn id="36" name="Run ID"/>
    <x:tableColumn id="37" name="Источник"/>
    <x:tableColumn id="38" name="SHA256 источник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inuation62f735b5" displayName="Continuation62f735b5" ref="A6:C37" headerRowCount="1" totalsRowCount="0" totalsRowShown="0">
  <x:autoFilter ref="A6:C37"/>
  <x:tableColumns count="3">
    <x:tableColumn id="1" name="Поле"/>
    <x:tableColumn id="2" name="Определение / значение"/>
    <x:tableColumn id="3" name="Огранич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0926aca03e45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dc1cf1d234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170628ad0b48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68237cee6944f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c7f43afb564f24" /></Relationships>
</file>

<file path=xl/worksheets/sheet1.xml><?xml version="1.0" encoding="utf-8"?>
<x:worksheet xmlns:x="http://schemas.openxmlformats.org/spreadsheetml/2006/main">
  <x:sheetPr>
    <x:tabColor rgb="FF253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45" hidden="0" customWidth="1"/>
    <x:col min="44" max="44" width="105" hidden="0" customWidth="1"/>
    <x:col min="45" max="45" width="170" hidden="0" customWidth="1"/>
    <x:col min="46" max="46" width="7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</x:row>
    <x:row r="2" ht="26" customHeight="1">
      <x:c r="A2" s="4" t="str">
        <x:v>Предварительная маршрутизация, 2 октября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</x:row>
    <x:row r="3" ht="26" customHeight="1">
      <x:c r="A3" s="6" t="str">
        <x:v>36 previously observed DEV cases; 6 live arms. Shared guards versus historical cascade are an explicit extra factor. New confirmatory NOT RUN.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</x:row>
    <x:row r="6" ht="64" customHeight="1">
      <x:c r="A6" s="15" t="str">
        <x:v>Политика</x:v>
      </x:c>
      <x:c r="B6" s="16" t="str">
        <x:v>N план</x:v>
      </x:c>
      <x:c r="C6" s="16" t="str">
        <x:v>N записан</x:v>
      </x:c>
      <x:c r="D6" s="16" t="str">
        <x:v>Верно</x:v>
      </x:c>
      <x:c r="E6" s="16" t="str">
        <x:v>Качество / N план</x:v>
      </x:c>
      <x:c r="F6" s="16" t="str">
        <x:v>Ошибки решения</x:v>
      </x:c>
      <x:c r="G6" s="16" t="str">
        <x:v>Ошибки router</x:v>
      </x:c>
      <x:c r="H6" s="16" t="str">
        <x:v>До HTTP blocked N</x:v>
      </x:c>
      <x:c r="I6" s="16" t="str">
        <x:v>Local calls</x:v>
      </x:c>
      <x:c r="J6" s="16" t="str">
        <x:v>Cloud generation</x:v>
      </x:c>
      <x:c r="K6" s="16" t="str">
        <x:v>Hosted router calls</x:v>
      </x:c>
      <x:c r="L6" s="16" t="str">
        <x:v>Все внешние requests</x:v>
      </x:c>
      <x:c r="M6" s="16" t="str">
        <x:v>Tool calls</x:v>
      </x:c>
      <x:c r="N6" s="16" t="str">
        <x:v>Clarify</x:v>
      </x:c>
      <x:c r="O6" s="16" t="str">
        <x:v>Abstain</x:v>
      </x:c>
      <x:c r="P6" s="16" t="str">
        <x:v>Известно USD</x:v>
      </x:c>
      <x:c r="Q6" s="16" t="str">
        <x:v>Unknown cost events</x:v>
      </x:c>
      <x:c r="R6" s="16" t="str">
        <x:v>USD / N план известно</x:v>
      </x:c>
      <x:c r="S6" s="16" t="str">
        <x:v>Среднее E2E, с</x:v>
      </x:c>
      <x:c r="T6" s="16" t="str">
        <x:v>p50 E2E, с</x:v>
      </x:c>
      <x:c r="U6" s="16" t="str">
        <x:v>p95 E2E, с</x:v>
      </x:c>
      <x:c r="V6" s="16" t="str">
        <x:v>Success mean, с</x:v>
      </x:c>
      <x:c r="W6" s="16" t="str">
        <x:v>Success p50, с</x:v>
      </x:c>
      <x:c r="X6" s="16" t="str">
        <x:v>Success p95, с</x:v>
      </x:c>
      <x:c r="Y6" s="16" t="str">
        <x:v>Router p50, ms</x:v>
      </x:c>
      <x:c r="Z6" s="16" t="str">
        <x:v>Local input</x:v>
      </x:c>
      <x:c r="AA6" s="16" t="str">
        <x:v>Local output</x:v>
      </x:c>
      <x:c r="AB6" s="16" t="str">
        <x:v>Local input coverage</x:v>
      </x:c>
      <x:c r="AC6" s="16" t="str">
        <x:v>Local output coverage</x:v>
      </x:c>
      <x:c r="AD6" s="16" t="str">
        <x:v>Cloud input</x:v>
      </x:c>
      <x:c r="AE6" s="16" t="str">
        <x:v>Cloud output</x:v>
      </x:c>
      <x:c r="AF6" s="16" t="str">
        <x:v>Cloud input coverage</x:v>
      </x:c>
      <x:c r="AG6" s="16" t="str">
        <x:v>Cloud output coverage</x:v>
      </x:c>
      <x:c r="AH6" s="16" t="str">
        <x:v>Router input</x:v>
      </x:c>
      <x:c r="AI6" s="16" t="str">
        <x:v>Router output</x:v>
      </x:c>
      <x:c r="AJ6" s="16" t="str">
        <x:v>Router input coverage</x:v>
      </x:c>
      <x:c r="AK6" s="16" t="str">
        <x:v>Client TTFT p50, с</x:v>
      </x:c>
      <x:c r="AL6" s="16" t="str">
        <x:v>Client approx tok/s</x:v>
      </x:c>
      <x:c r="AM6" s="16" t="str">
        <x:v>Native backend tok/s</x:v>
      </x:c>
      <x:c r="AN6" s="16" t="str">
        <x:v>Laya RSS peak B</x:v>
      </x:c>
      <x:c r="AO6" s="16" t="str">
        <x:v>VRAM run-wide MiB</x:v>
      </x:c>
      <x:c r="AP6" s="16" t="str">
        <x:v>RAM run-wide GiB</x:v>
      </x:c>
      <x:c r="AQ6" s="16" t="str">
        <x:v>По языкам</x:v>
      </x:c>
      <x:c r="AR6" s="16" t="str">
        <x:v>По категориям</x:v>
      </x:c>
      <x:c r="AS6" s="16" t="str">
        <x:v>Источник</x:v>
      </x:c>
      <x:c r="AT6" s="17" t="str">
        <x:v>SHA256 источника</x:v>
      </x:c>
    </x:row>
    <x:row r="7" ht="78" customHeight="1">
      <x:c r="A7" s="20" t="str">
        <x:v>tool_cloud</x:v>
      </x:c>
      <x:c r="B7" s="19" t="n">
        <x:v>36</x:v>
      </x:c>
      <x:c r="C7" s="19" t="n">
        <x:v>36</x:v>
      </x:c>
      <x:c r="D7" s="19" t="n">
        <x:v>31</x:v>
      </x:c>
      <x:c r="E7" s="22" t="n">
        <x:v>0.8611111111111112</x:v>
      </x:c>
      <x:c r="F7" s="19" t="n">
        <x:v>3</x:v>
      </x:c>
      <x:c r="G7" s="19" t="n">
        <x:v>0</x:v>
      </x:c>
      <x:c r="H7" s="19" t="n">
        <x:v>0</x:v>
      </x:c>
      <x:c r="I7" s="19" t="n">
        <x:v>0</x:v>
      </x:c>
      <x:c r="J7" s="19" t="n">
        <x:v>24</x:v>
      </x:c>
      <x:c r="K7" s="19" t="n">
        <x:v>0</x:v>
      </x:c>
      <x:c r="L7" s="19" t="n">
        <x:v>24</x:v>
      </x:c>
      <x:c r="M7" s="19" t="n">
        <x:v>6</x:v>
      </x:c>
      <x:c r="N7" s="19" t="n">
        <x:v>6</x:v>
      </x:c>
      <x:c r="O7" s="19" t="n">
        <x:v>0</x:v>
      </x:c>
      <x:c r="P7" s="23" t="n">
        <x:v>0.00118831</x:v>
      </x:c>
      <x:c r="Q7" s="19" t="n">
        <x:v>2</x:v>
      </x:c>
      <x:c r="R7" s="23" t="n">
        <x:v>0.00003300861111111111</x:v>
      </x:c>
      <x:c r="S7" s="24" t="n">
        <x:v>4.314389577777547</x:v>
      </x:c>
      <x:c r="T7" s="24" t="n">
        <x:v>1.3333020999998553</x:v>
      </x:c>
      <x:c r="U7" s="24" t="n">
        <x:v>17.15568162499767</x:v>
      </x:c>
      <x:c r="V7" s="24" t="n">
        <x:v>0.9500904818178793</x:v>
      </x:c>
      <x:c r="W7" s="24" t="n">
        <x:v>1.305750800005626</x:v>
      </x:c>
      <x:c r="X7" s="24" t="n">
        <x:v>1.8758221399970352</x:v>
      </x:c>
      <x:c r="Y7" s="25" t="n">
        <x:v>0</x:v>
      </x:c>
      <x:c r="Z7" s="19"/>
      <x:c r="AA7" s="19"/>
      <x:c r="AB7" s="19" t="n">
        <x:v>0</x:v>
      </x:c>
      <x:c r="AC7" s="19" t="n">
        <x:v>0</x:v>
      </x:c>
      <x:c r="AD7" s="19" t="n">
        <x:v>13264</x:v>
      </x:c>
      <x:c r="AE7" s="19" t="n">
        <x:v>4385</x:v>
      </x:c>
      <x:c r="AF7" s="19" t="n">
        <x:v>22</x:v>
      </x:c>
      <x:c r="AG7" s="19" t="n">
        <x:v>22</x:v>
      </x:c>
      <x:c r="AH7" s="19"/>
      <x:c r="AI7" s="19"/>
      <x:c r="AJ7" s="19" t="n">
        <x:v>0</x:v>
      </x:c>
      <x:c r="AK7" s="24"/>
      <x:c r="AL7" s="25"/>
      <x:c r="AM7" s="25"/>
      <x:c r="AN7" s="19"/>
      <x:c r="AO7" s="19" t="n">
        <x:v>13843</x:v>
      </x:c>
      <x:c r="AP7" s="25" t="n">
        <x:v>26.06661605834961</x:v>
      </x:c>
      <x:c r="AQ7" s="21" t="str">
        <x:v>en: 17/21; ru: 14/15</x:v>
      </x:c>
      <x:c r="AR7" s="21" t="str">
        <x:v>compound_reasoning: 5/6; extractive_qa: 4/6; missing_data: 6/6; numeric: 6/6; rule_interpretation: 5/6; tool_selection: 5/6</x:v>
      </x:c>
      <x:c r="AS7" s="20" t="str">
        <x:v>results/20261002_180119Z_76283d02_prerouting_dev/analysis_20261002_181438Z_c3905087/summary.json</x:v>
      </x:c>
      <x:c r="AT7" s="20" t="str">
        <x:v>8c5af8f2ac1a54c7017c1578674cd49be4e0824c6c33578e345e06a57b40d987</x:v>
      </x:c>
    </x:row>
    <x:row r="8" ht="78" customHeight="1">
      <x:c r="A8" s="20" t="str">
        <x:v>cascade</x:v>
      </x:c>
      <x:c r="B8" s="19" t="n">
        <x:v>36</x:v>
      </x:c>
      <x:c r="C8" s="19" t="n">
        <x:v>36</x:v>
      </x:c>
      <x:c r="D8" s="19" t="n">
        <x:v>32</x:v>
      </x:c>
      <x:c r="E8" s="22" t="n">
        <x:v>0.8888888888888888</x:v>
      </x:c>
      <x:c r="F8" s="19" t="n">
        <x:v>2</x:v>
      </x:c>
      <x:c r="G8" s="19" t="n">
        <x:v>0</x:v>
      </x:c>
      <x:c r="H8" s="19" t="n">
        <x:v>0</x:v>
      </x:c>
      <x:c r="I8" s="19" t="n">
        <x:v>6</x:v>
      </x:c>
      <x:c r="J8" s="19" t="n">
        <x:v>18</x:v>
      </x:c>
      <x:c r="K8" s="19" t="n">
        <x:v>0</x:v>
      </x:c>
      <x:c r="L8" s="19" t="n">
        <x:v>18</x:v>
      </x:c>
      <x:c r="M8" s="19" t="n">
        <x:v>6</x:v>
      </x:c>
      <x:c r="N8" s="19" t="n">
        <x:v>6</x:v>
      </x:c>
      <x:c r="O8" s="19" t="n">
        <x:v>0</x:v>
      </x:c>
      <x:c r="P8" s="23" t="n">
        <x:v>0.00081088</x:v>
      </x:c>
      <x:c r="Q8" s="19" t="n">
        <x:v>2</x:v>
      </x:c>
      <x:c r="R8" s="23" t="n">
        <x:v>0.000022524444444444446</x:v>
      </x:c>
      <x:c r="S8" s="24" t="n">
        <x:v>4.349088527777793</x:v>
      </x:c>
      <x:c r="T8" s="24" t="n">
        <x:v>1.385903899998084</x:v>
      </x:c>
      <x:c r="U8" s="24" t="n">
        <x:v>17.23183269999572</x:v>
      </x:c>
      <x:c r="V8" s="24" t="n">
        <x:v>1.039732176470459</x:v>
      </x:c>
      <x:c r="W8" s="24" t="n">
        <x:v>1.3289833999951952</x:v>
      </x:c>
      <x:c r="X8" s="24" t="n">
        <x:v>2.0767753450032616</x:v>
      </x:c>
      <x:c r="Y8" s="25" t="n">
        <x:v>0</x:v>
      </x:c>
      <x:c r="Z8" s="19" t="n">
        <x:v>2946</x:v>
      </x:c>
      <x:c r="AA8" s="19" t="n">
        <x:v>226</x:v>
      </x:c>
      <x:c r="AB8" s="19" t="n">
        <x:v>6</x:v>
      </x:c>
      <x:c r="AC8" s="19" t="n">
        <x:v>6</x:v>
      </x:c>
      <x:c r="AD8" s="19" t="n">
        <x:v>9382</x:v>
      </x:c>
      <x:c r="AE8" s="19" t="n">
        <x:v>2904</x:v>
      </x:c>
      <x:c r="AF8" s="19" t="n">
        <x:v>16</x:v>
      </x:c>
      <x:c r="AG8" s="19" t="n">
        <x:v>16</x:v>
      </x:c>
      <x:c r="AH8" s="19"/>
      <x:c r="AI8" s="19"/>
      <x:c r="AJ8" s="19" t="n">
        <x:v>0</x:v>
      </x:c>
      <x:c r="AK8" s="24" t="n">
        <x:v>0.8360866000039096</x:v>
      </x:c>
      <x:c r="AL8" s="25" t="n">
        <x:v>45.66532229735603</x:v>
      </x:c>
      <x:c r="AM8" s="25"/>
      <x:c r="AN8" s="19"/>
      <x:c r="AO8" s="19" t="n">
        <x:v>13843</x:v>
      </x:c>
      <x:c r="AP8" s="25" t="n">
        <x:v>26.06661605834961</x:v>
      </x:c>
      <x:c r="AQ8" s="21" t="str">
        <x:v>en: 19/21; ru: 13/15</x:v>
      </x:c>
      <x:c r="AR8" s="21" t="str">
        <x:v>compound_reasoning: 5/6; extractive_qa: 4/6; missing_data: 6/6; numeric: 6/6; rule_interpretation: 5/6; tool_selection: 6/6</x:v>
      </x:c>
      <x:c r="AS8" s="20" t="str">
        <x:v>results/20261002_180119Z_76283d02_prerouting_dev/analysis_20261002_181438Z_c3905087/summary.json</x:v>
      </x:c>
      <x:c r="AT8" s="20" t="str">
        <x:v>8c5af8f2ac1a54c7017c1578674cd49be4e0824c6c33578e345e06a57b40d987</x:v>
      </x:c>
    </x:row>
    <x:row r="9" ht="78" customHeight="1">
      <x:c r="A9" s="20" t="str">
        <x:v>rule_first</x:v>
      </x:c>
      <x:c r="B9" s="19" t="n">
        <x:v>36</x:v>
      </x:c>
      <x:c r="C9" s="19" t="n">
        <x:v>36</x:v>
      </x:c>
      <x:c r="D9" s="19" t="n">
        <x:v>31</x:v>
      </x:c>
      <x:c r="E9" s="22" t="n">
        <x:v>0.8611111111111112</x:v>
      </x:c>
      <x:c r="F9" s="19" t="n">
        <x:v>3</x:v>
      </x:c>
      <x:c r="G9" s="19" t="n">
        <x:v>0</x:v>
      </x:c>
      <x:c r="H9" s="19" t="n">
        <x:v>0</x:v>
      </x:c>
      <x:c r="I9" s="19" t="n">
        <x:v>1</x:v>
      </x:c>
      <x:c r="J9" s="19" t="n">
        <x:v>23</x:v>
      </x:c>
      <x:c r="K9" s="19" t="n">
        <x:v>0</x:v>
      </x:c>
      <x:c r="L9" s="19" t="n">
        <x:v>23</x:v>
      </x:c>
      <x:c r="M9" s="19" t="n">
        <x:v>6</x:v>
      </x:c>
      <x:c r="N9" s="19" t="n">
        <x:v>6</x:v>
      </x:c>
      <x:c r="O9" s="19" t="n">
        <x:v>3</x:v>
      </x:c>
      <x:c r="P9" s="23" t="n">
        <x:v>0.0009889</x:v>
      </x:c>
      <x:c r="Q9" s="19" t="n">
        <x:v>3</x:v>
      </x:c>
      <x:c r="R9" s="23" t="n">
        <x:v>0.000027469444444444444</x:v>
      </x:c>
      <x:c r="S9" s="24" t="n">
        <x:v>6.244068316666421</x:v>
      </x:c>
      <x:c r="T9" s="24" t="n">
        <x:v>1.316076900002372</x:v>
      </x:c>
      <x:c r="U9" s="24" t="n">
        <x:v>60.54303229999823</x:v>
      </x:c>
      <x:c r="V9" s="24" t="n">
        <x:v>1.305852866666762</x:v>
      </x:c>
      <x:c r="W9" s="24" t="n">
        <x:v>1.2742383000004338</x:v>
      </x:c>
      <x:c r="X9" s="24" t="n">
        <x:v>2.0129528600024056</x:v>
      </x:c>
      <x:c r="Y9" s="25" t="n">
        <x:v>0.036649998946813866</x:v>
      </x:c>
      <x:c r="Z9" s="19" t="n">
        <x:v>461</x:v>
      </x:c>
      <x:c r="AA9" s="19" t="n">
        <x:v>39</x:v>
      </x:c>
      <x:c r="AB9" s="19" t="n">
        <x:v>1</x:v>
      </x:c>
      <x:c r="AC9" s="19" t="n">
        <x:v>1</x:v>
      </x:c>
      <x:c r="AD9" s="19" t="n">
        <x:v>11920</x:v>
      </x:c>
      <x:c r="AE9" s="19" t="n">
        <x:v>3414</x:v>
      </x:c>
      <x:c r="AF9" s="19" t="n">
        <x:v>20</x:v>
      </x:c>
      <x:c r="AG9" s="19" t="n">
        <x:v>20</x:v>
      </x:c>
      <x:c r="AH9" s="19"/>
      <x:c r="AI9" s="19"/>
      <x:c r="AJ9" s="19" t="n">
        <x:v>0</x:v>
      </x:c>
      <x:c r="AK9" s="24" t="n">
        <x:v>0.9204979999994976</x:v>
      </x:c>
      <x:c r="AL9" s="25" t="n">
        <x:v>45.20546754353994</x:v>
      </x:c>
      <x:c r="AM9" s="25"/>
      <x:c r="AN9" s="19"/>
      <x:c r="AO9" s="19" t="n">
        <x:v>13843</x:v>
      </x:c>
      <x:c r="AP9" s="25" t="n">
        <x:v>26.06661605834961</x:v>
      </x:c>
      <x:c r="AQ9" s="21" t="str">
        <x:v>en: 17/21; ru: 14/15</x:v>
      </x:c>
      <x:c r="AR9" s="21" t="str">
        <x:v>compound_reasoning: 5/6; extractive_qa: 3/6; missing_data: 6/6; numeric: 6/6; rule_interpretation: 5/6; tool_selection: 6/6</x:v>
      </x:c>
      <x:c r="AS9" s="20" t="str">
        <x:v>results/20261002_180119Z_76283d02_prerouting_dev/analysis_20261002_181438Z_c3905087/summary.json</x:v>
      </x:c>
      <x:c r="AT9" s="20" t="str">
        <x:v>8c5af8f2ac1a54c7017c1578674cd49be4e0824c6c33578e345e06a57b40d987</x:v>
      </x:c>
    </x:row>
    <x:row r="10" ht="78" customHeight="1">
      <x:c r="A10" s="20" t="str">
        <x:v>jev_first</x:v>
      </x:c>
      <x:c r="B10" s="19" t="n">
        <x:v>36</x:v>
      </x:c>
      <x:c r="C10" s="19" t="n">
        <x:v>36</x:v>
      </x:c>
      <x:c r="D10" s="19" t="n">
        <x:v>30</x:v>
      </x:c>
      <x:c r="E10" s="22" t="n">
        <x:v>0.8333333333333334</x:v>
      </x:c>
      <x:c r="F10" s="19" t="n">
        <x:v>1</x:v>
      </x:c>
      <x:c r="G10" s="19" t="n">
        <x:v>0</x:v>
      </x:c>
      <x:c r="H10" s="19" t="n">
        <x:v>0</x:v>
      </x:c>
      <x:c r="I10" s="19" t="n">
        <x:v>1</x:v>
      </x:c>
      <x:c r="J10" s="19" t="n">
        <x:v>20</x:v>
      </x:c>
      <x:c r="K10" s="19" t="n">
        <x:v>36</x:v>
      </x:c>
      <x:c r="L10" s="19" t="n">
        <x:v>56</x:v>
      </x:c>
      <x:c r="M10" s="19" t="n">
        <x:v>6</x:v>
      </x:c>
      <x:c r="N10" s="19" t="n">
        <x:v>9</x:v>
      </x:c>
      <x:c r="O10" s="19" t="n">
        <x:v>1</x:v>
      </x:c>
      <x:c r="P10" s="23" t="n">
        <x:v>0.0022975680000000003</x:v>
      </x:c>
      <x:c r="Q10" s="19" t="n">
        <x:v>0</x:v>
      </x:c>
      <x:c r="R10" s="23" t="n">
        <x:v>0.00006382133333333335</x:v>
      </x:c>
      <x:c r="S10" s="24" t="n">
        <x:v>1.6138975694450184</x:v>
      </x:c>
      <x:c r="T10" s="24" t="n">
        <x:v>1.7815075500038802</x:v>
      </x:c>
      <x:c r="U10" s="24" t="n">
        <x:v>2.952861950003353</x:v>
      </x:c>
      <x:c r="V10" s="24" t="n">
        <x:v>1.5455177714291495</x:v>
      </x:c>
      <x:c r="W10" s="24" t="n">
        <x:v>1.7234211000031792</x:v>
      </x:c>
      <x:c r="X10" s="24" t="n">
        <x:v>2.660996659999363</x:v>
      </x:c>
      <x:c r="Y10" s="25" t="n">
        <x:v>788.193450000108</x:v>
      </x:c>
      <x:c r="Z10" s="19" t="n">
        <x:v>461</x:v>
      </x:c>
      <x:c r="AA10" s="19" t="n">
        <x:v>39</x:v>
      </x:c>
      <x:c r="AB10" s="19" t="n">
        <x:v>1</x:v>
      </x:c>
      <x:c r="AC10" s="19" t="n">
        <x:v>1</x:v>
      </x:c>
      <x:c r="AD10" s="19" t="n">
        <x:v>12114</x:v>
      </x:c>
      <x:c r="AE10" s="19" t="n">
        <x:v>3890</x:v>
      </x:c>
      <x:c r="AF10" s="19" t="n">
        <x:v>20</x:v>
      </x:c>
      <x:c r="AG10" s="19" t="n">
        <x:v>20</x:v>
      </x:c>
      <x:c r="AH10" s="19" t="n">
        <x:v>29274</x:v>
      </x:c>
      <x:c r="AI10" s="19" t="n">
        <x:v>2806</x:v>
      </x:c>
      <x:c r="AJ10" s="19" t="n">
        <x:v>36</x:v>
      </x:c>
      <x:c r="AK10" s="24" t="n">
        <x:v>0.276402200004668</x:v>
      </x:c>
      <x:c r="AL10" s="25" t="n">
        <x:v>44.438671215501934</x:v>
      </x:c>
      <x:c r="AM10" s="25"/>
      <x:c r="AN10" s="19"/>
      <x:c r="AO10" s="19" t="n">
        <x:v>13843</x:v>
      </x:c>
      <x:c r="AP10" s="25" t="n">
        <x:v>26.06661605834961</x:v>
      </x:c>
      <x:c r="AQ10" s="21" t="str">
        <x:v>en: 18/21; ru: 12/15</x:v>
      </x:c>
      <x:c r="AR10" s="21" t="str">
        <x:v>compound_reasoning: 6/6; extractive_qa: 3/6; missing_data: 6/6; numeric: 6/6; rule_interpretation: 6/6; tool_selection: 3/6</x:v>
      </x:c>
      <x:c r="AS10" s="20" t="str">
        <x:v>results/20261002_180119Z_76283d02_prerouting_dev/analysis_20261002_181438Z_c3905087/summary.json</x:v>
      </x:c>
      <x:c r="AT10" s="20" t="str">
        <x:v>8c5af8f2ac1a54c7017c1578674cd49be4e0824c6c33578e345e06a57b40d987</x:v>
      </x:c>
    </x:row>
    <x:row r="11" ht="78" customHeight="1">
      <x:c r="A11" s="20" t="str">
        <x:v>laya_first</x:v>
      </x:c>
      <x:c r="B11" s="19" t="n">
        <x:v>36</x:v>
      </x:c>
      <x:c r="C11" s="19" t="n">
        <x:v>36</x:v>
      </x:c>
      <x:c r="D11" s="19" t="n">
        <x:v>23</x:v>
      </x:c>
      <x:c r="E11" s="22" t="n">
        <x:v>0.6388888888888888</x:v>
      </x:c>
      <x:c r="F11" s="19" t="n">
        <x:v>1</x:v>
      </x:c>
      <x:c r="G11" s="19" t="n">
        <x:v>0</x:v>
      </x:c>
      <x:c r="H11" s="19" t="n">
        <x:v>0</x:v>
      </x:c>
      <x:c r="I11" s="19" t="n">
        <x:v>1</x:v>
      </x:c>
      <x:c r="J11" s="19" t="n">
        <x:v>13</x:v>
      </x:c>
      <x:c r="K11" s="19" t="n">
        <x:v>0</x:v>
      </x:c>
      <x:c r="L11" s="19" t="n">
        <x:v>13</x:v>
      </x:c>
      <x:c r="M11" s="19" t="n">
        <x:v>6</x:v>
      </x:c>
      <x:c r="N11" s="19" t="n">
        <x:v>16</x:v>
      </x:c>
      <x:c r="O11" s="19" t="n">
        <x:v>1</x:v>
      </x:c>
      <x:c r="P11" s="23" t="n">
        <x:v>0.00045803</x:v>
      </x:c>
      <x:c r="Q11" s="19" t="n">
        <x:v>1</x:v>
      </x:c>
      <x:c r="R11" s="23" t="n">
        <x:v>0.000012723055555555556</x:v>
      </x:c>
      <x:c r="S11" s="24" t="n">
        <x:v>2.9812664833330524</x:v>
      </x:c>
      <x:c r="T11" s="24" t="n">
        <x:v>0.8934262000002491</x:v>
      </x:c>
      <x:c r="U11" s="24" t="n">
        <x:v>2.822581574999276</x:v>
      </x:c>
      <x:c r="V11" s="24" t="n">
        <x:v>1.3130229857139057</x:v>
      </x:c>
      <x:c r="W11" s="24" t="n">
        <x:v>0.8920400999995763</x:v>
      </x:c>
      <x:c r="X11" s="24" t="n">
        <x:v>2.4861655199994854</x:v>
      </x:c>
      <x:c r="Y11" s="25" t="n">
        <x:v>705.415799999173</x:v>
      </x:c>
      <x:c r="Z11" s="19" t="n">
        <x:v>461</x:v>
      </x:c>
      <x:c r="AA11" s="19" t="n">
        <x:v>39</x:v>
      </x:c>
      <x:c r="AB11" s="19" t="n">
        <x:v>1</x:v>
      </x:c>
      <x:c r="AC11" s="19" t="n">
        <x:v>1</x:v>
      </x:c>
      <x:c r="AD11" s="19" t="n">
        <x:v>7007</x:v>
      </x:c>
      <x:c r="AE11" s="19" t="n">
        <x:v>1185</x:v>
      </x:c>
      <x:c r="AF11" s="19" t="n">
        <x:v>12</x:v>
      </x:c>
      <x:c r="AG11" s="19" t="n">
        <x:v>12</x:v>
      </x:c>
      <x:c r="AH11" s="19"/>
      <x:c r="AI11" s="19"/>
      <x:c r="AJ11" s="19" t="n">
        <x:v>0</x:v>
      </x:c>
      <x:c r="AK11" s="24" t="n">
        <x:v>0.2981699000010849</x:v>
      </x:c>
      <x:c r="AL11" s="25" t="n">
        <x:v>44.08459358738116</x:v>
      </x:c>
      <x:c r="AM11" s="25"/>
      <x:c r="AN11" s="19" t="n">
        <x:v>1790668800</x:v>
      </x:c>
      <x:c r="AO11" s="19" t="n">
        <x:v>13843</x:v>
      </x:c>
      <x:c r="AP11" s="25" t="n">
        <x:v>26.06661605834961</x:v>
      </x:c>
      <x:c r="AQ11" s="21" t="str">
        <x:v>en: 15/21; ru: 8/15</x:v>
      </x:c>
      <x:c r="AR11" s="21" t="str">
        <x:v>compound_reasoning: 0/6; extractive_qa: 4/6; missing_data: 6/6; numeric: 6/6; rule_interpretation: 5/6; tool_selection: 2/6</x:v>
      </x:c>
      <x:c r="AS11" s="20" t="str">
        <x:v>results/20261002_180119Z_76283d02_prerouting_dev/analysis_20261002_181438Z_c3905087/summary.json</x:v>
      </x:c>
      <x:c r="AT11" s="20" t="str">
        <x:v>8c5af8f2ac1a54c7017c1578674cd49be4e0824c6c33578e345e06a57b40d987</x:v>
      </x:c>
    </x:row>
    <x:row r="12" ht="78" customHeight="1">
      <x:c r="A12" s="20" t="str">
        <x:v>offline_laya</x:v>
      </x:c>
      <x:c r="B12" s="19" t="n">
        <x:v>36</x:v>
      </x:c>
      <x:c r="C12" s="19" t="n">
        <x:v>36</x:v>
      </x:c>
      <x:c r="D12" s="19" t="n">
        <x:v>12</x:v>
      </x:c>
      <x:c r="E12" s="22" t="n">
        <x:v>0.3333333333333333</x:v>
      </x:c>
      <x:c r="F12" s="19" t="n">
        <x:v>0</x:v>
      </x:c>
      <x:c r="G12" s="19" t="n">
        <x:v>0</x:v>
      </x:c>
      <x:c r="H12" s="19" t="n">
        <x:v>0</x:v>
      </x:c>
      <x:c r="I12" s="19" t="n">
        <x:v>1</x:v>
      </x:c>
      <x:c r="J12" s="19" t="n">
        <x:v>0</x:v>
      </x:c>
      <x:c r="K12" s="19" t="n">
        <x:v>0</x:v>
      </x:c>
      <x:c r="L12" s="19" t="n">
        <x:v>0</x:v>
      </x:c>
      <x:c r="M12" s="19" t="n">
        <x:v>6</x:v>
      </x:c>
      <x:c r="N12" s="19" t="n">
        <x:v>19</x:v>
      </x:c>
      <x:c r="O12" s="19" t="n">
        <x:v>10</x:v>
      </x:c>
      <x:c r="P12" s="23" t="n">
        <x:v>0</x:v>
      </x:c>
      <x:c r="Q12" s="19" t="n">
        <x:v>0</x:v>
      </x:c>
      <x:c r="R12" s="23" t="n">
        <x:v>0</x:v>
      </x:c>
      <x:c r="S12" s="24" t="n">
        <x:v>0.7932729527783522</x:v>
      </x:c>
      <x:c r="T12" s="24" t="n">
        <x:v>0.7209331000012753</x:v>
      </x:c>
      <x:c r="U12" s="24" t="n">
        <x:v>1.0161829499993473</x:v>
      </x:c>
      <x:c r="V12" s="24" t="n">
        <x:v>0.7932729527783522</x:v>
      </x:c>
      <x:c r="W12" s="24" t="n">
        <x:v>0.7209331000012753</x:v>
      </x:c>
      <x:c r="X12" s="24" t="n">
        <x:v>1.0161829499993473</x:v>
      </x:c>
      <x:c r="Y12" s="25" t="n">
        <x:v>720.8529999988968</x:v>
      </x:c>
      <x:c r="Z12" s="19" t="n">
        <x:v>461</x:v>
      </x:c>
      <x:c r="AA12" s="19" t="n">
        <x:v>39</x:v>
      </x:c>
      <x:c r="AB12" s="19" t="n">
        <x:v>1</x:v>
      </x:c>
      <x:c r="AC12" s="19" t="n">
        <x:v>1</x:v>
      </x:c>
      <x:c r="AD12" s="19"/>
      <x:c r="AE12" s="19"/>
      <x:c r="AF12" s="19" t="n">
        <x:v>0</x:v>
      </x:c>
      <x:c r="AG12" s="19" t="n">
        <x:v>0</x:v>
      </x:c>
      <x:c r="AH12" s="19"/>
      <x:c r="AI12" s="19"/>
      <x:c r="AJ12" s="19" t="n">
        <x:v>0</x:v>
      </x:c>
      <x:c r="AK12" s="24" t="n">
        <x:v>0.2857953999991878</x:v>
      </x:c>
      <x:c r="AL12" s="25" t="n">
        <x:v>44.40400264522073</x:v>
      </x:c>
      <x:c r="AM12" s="25"/>
      <x:c r="AN12" s="19" t="n">
        <x:v>1791160320</x:v>
      </x:c>
      <x:c r="AO12" s="19" t="n">
        <x:v>13843</x:v>
      </x:c>
      <x:c r="AP12" s="25" t="n">
        <x:v>26.06661605834961</x:v>
      </x:c>
      <x:c r="AQ12" s="21" t="str">
        <x:v>en: 6/21; ru: 6/15</x:v>
      </x:c>
      <x:c r="AR12" s="21" t="str">
        <x:v>compound_reasoning: 0/6; extractive_qa: 0/6; missing_data: 6/6; numeric: 6/6; rule_interpretation: 0/6; tool_selection: 0/6</x:v>
      </x:c>
      <x:c r="AS12" s="20" t="str">
        <x:v>results/20261002_180119Z_76283d02_prerouting_dev/analysis_20261002_181438Z_c3905087/summary.json</x:v>
      </x:c>
      <x:c r="AT12" s="20" t="str">
        <x:v>8c5af8f2ac1a54c7017c1578674cd49be4e0824c6c33578e345e06a57b40d987</x:v>
      </x:c>
    </x:row>
  </x:sheetData>
  <x:conditionalFormatting sqref="A7:A12">
    <x:cfRule type="containsText" dxfId="0" priority="1" operator="containsText" text="BLOCKED"/>
    <x:cfRule type="containsText" dxfId="1" priority="2" operator="containsText" text="NOT_RUN"/>
    <x:cfRule type="containsText" dxfId="2" priority="3" operator="containsText" text="NOT RUN"/>
    <x:cfRule type="containsText" dxfId="3" priority="4" operator="containsText" text="RATE_LIMITED"/>
    <x:cfRule type="containsText" dxfId="4" priority="5" operator="containsText" text="PARTIAL"/>
    <x:cfRule type="containsText" dxfId="5" priority="6" operator="containsText" text="PAID_NOT_AUTHORIZED"/>
  </x:conditionalFormatting>
  <x:pageMargins left="0.7" right="0.7" top="0.75" bottom="0.75" header="0.3" footer="0.3"/>
  <x:tableParts count="1">
    <x:tablePart xmlns:r="http://schemas.openxmlformats.org/officeDocument/2006/relationships" r:id="R8a0926aca03e45cd"/>
  </x:tableParts>
</x:worksheet>
</file>

<file path=xl/worksheets/sheet2.xml><?xml version="1.0" encoding="utf-8"?>
<x:worksheet xmlns:x="http://schemas.openxmlformats.org/spreadsheetml/2006/main">
  <x:sheetPr>
    <x:tabColor rgb="FF48668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4" hidden="0" customWidth="1"/>
    <x:col min="2" max="2" width="24" hidden="0" customWidth="1"/>
    <x:col min="3" max="3" width="26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50" hidden="0" customWidth="1"/>
    <x:col min="31" max="31" width="48" hidden="0" customWidth="1"/>
    <x:col min="32" max="32" width="70" hidden="0" customWidth="1"/>
    <x:col min="33" max="33" width="110" hidden="0" customWidth="1"/>
    <x:col min="34" max="34" width="90" hidden="0" customWidth="1"/>
    <x:col min="35" max="35" width="90" hidden="0" customWidth="1"/>
    <x:col min="36" max="36" width="7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26" customHeight="1">
      <x:c r="A2" s="4" t="str">
        <x:v>Запрошенные компактные локальные baseline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</x:row>
    <x:row r="3" ht="26" customHeight="1">
      <x:c r="A3" s="6" t="str">
        <x:v>Ordinary Q8_0 and native ternary CPU are separate runtime experiments. UNKNOWN metrics remain blank.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</x:row>
    <x:row r="6" ht="64" customHeight="1">
      <x:c r="A6" s="15" t="str">
        <x:v>Модель</x:v>
      </x:c>
      <x:c r="B6" s="16" t="str">
        <x:v>Runtime</x:v>
      </x:c>
      <x:c r="C6" s="16" t="str">
        <x:v>Test status</x:v>
      </x:c>
      <x:c r="D6" s="16" t="str">
        <x:v>Load success</x:v>
      </x:c>
      <x:c r="E6" s="16" t="str">
        <x:v>N</x:v>
      </x:c>
      <x:c r="F6" s="16" t="str">
        <x:v>Верно</x:v>
      </x:c>
      <x:c r="G6" s="16" t="str">
        <x:v>Качество</x:v>
      </x:c>
      <x:c r="H6" s="16" t="str">
        <x:v>Ошибки</x:v>
      </x:c>
      <x:c r="I6" s="16" t="str">
        <x:v>Input известно</x:v>
      </x:c>
      <x:c r="J6" s="16" t="str">
        <x:v>Output известно</x:v>
      </x:c>
      <x:c r="K6" s="16" t="str">
        <x:v>Reasoning известно</x:v>
      </x:c>
      <x:c r="L6" s="16" t="str">
        <x:v>Input coverage N</x:v>
      </x:c>
      <x:c r="M6" s="16" t="str">
        <x:v>Output coverage N</x:v>
      </x:c>
      <x:c r="N6" s="16" t="str">
        <x:v>Reasoning coverage N</x:v>
      </x:c>
      <x:c r="O6" s="16" t="str">
        <x:v>Среднее, с</x:v>
      </x:c>
      <x:c r="P6" s="16" t="str">
        <x:v>p50, с</x:v>
      </x:c>
      <x:c r="Q6" s="16" t="str">
        <x:v>p95, с</x:v>
      </x:c>
      <x:c r="R6" s="16" t="str">
        <x:v>Client TTFT p50, с</x:v>
      </x:c>
      <x:c r="S6" s="16" t="str">
        <x:v>Первый answer p50, с</x:v>
      </x:c>
      <x:c r="T6" s="16" t="str">
        <x:v>Client approx tok/s</x:v>
      </x:c>
      <x:c r="U6" s="16" t="str">
        <x:v>Native backend tok/s</x:v>
      </x:c>
      <x:c r="V6" s="16" t="str">
        <x:v>VRAM весь GPU MiB</x:v>
      </x:c>
      <x:c r="W6" s="16" t="str">
        <x:v>RAM весь ПК GiB</x:v>
      </x:c>
      <x:c r="X6" s="16" t="str">
        <x:v>Process RSS B</x:v>
      </x:c>
      <x:c r="Y6" s="16" t="str">
        <x:v>Main expected GiB</x:v>
      </x:c>
      <x:c r="Z6" s="16" t="str">
        <x:v>Квантование</x:v>
      </x:c>
      <x:c r="AA6" s="16" t="str">
        <x:v>Offload requested</x:v>
      </x:c>
      <x:c r="AB6" s="16" t="str">
        <x:v>Actual GPU layers</x:v>
      </x:c>
      <x:c r="AC6" s="16" t="str">
        <x:v>Cold load, с</x:v>
      </x:c>
      <x:c r="AD6" s="16" t="str">
        <x:v>HF repo</x:v>
      </x:c>
      <x:c r="AE6" s="16" t="str">
        <x:v>Revision</x:v>
      </x:c>
      <x:c r="AF6" s="16" t="str">
        <x:v>Expected main SHA256</x:v>
      </x:c>
      <x:c r="AG6" s="16" t="str">
        <x:v>Ограничения / статус</x:v>
      </x:c>
      <x:c r="AH6" s="16" t="str">
        <x:v>Weight validation</x:v>
      </x:c>
      <x:c r="AI6" s="16" t="str">
        <x:v>Источник</x:v>
      </x:c>
      <x:c r="AJ6" s="17" t="str">
        <x:v>SHA256 источника</x:v>
      </x:c>
    </x:row>
    <x:row r="7" ht="78" customHeight="1">
      <x:c r="A7" s="21" t="str">
        <x:v>Qwen3.5-4B</x:v>
      </x:c>
      <x:c r="B7" s="20" t="str">
        <x:v>LM Studio API GPU</x:v>
      </x:c>
      <x:c r="C7" s="21" t="str">
        <x:v>PARTIAL_SCREEN_REJECTED</x:v>
      </x:c>
      <x:c r="D7" s="28" t="b">
        <x:v>1</x:v>
      </x:c>
      <x:c r="E7" s="19" t="n">
        <x:v>12</x:v>
      </x:c>
      <x:c r="F7" s="19" t="n">
        <x:v>3</x:v>
      </x:c>
      <x:c r="G7" s="22" t="n">
        <x:v>0.25</x:v>
      </x:c>
      <x:c r="H7" s="19" t="n">
        <x:v>0</x:v>
      </x:c>
      <x:c r="I7" s="19" t="n">
        <x:v>5588</x:v>
      </x:c>
      <x:c r="J7" s="19" t="n">
        <x:v>390</x:v>
      </x:c>
      <x:c r="K7" s="19" t="n">
        <x:v>0</x:v>
      </x:c>
      <x:c r="L7" s="19" t="n">
        <x:v>12</x:v>
      </x:c>
      <x:c r="M7" s="19" t="n">
        <x:v>12</x:v>
      </x:c>
      <x:c r="N7" s="19" t="n">
        <x:v>12</x:v>
      </x:c>
      <x:c r="O7" s="24" t="n">
        <x:v>0.5592535499987813</x:v>
      </x:c>
      <x:c r="P7" s="24" t="n">
        <x:v>0.5101119499995548</x:v>
      </x:c>
      <x:c r="Q7" s="24" t="n">
        <x:v>0.869682805001139</x:v>
      </x:c>
      <x:c r="R7" s="24" t="n">
        <x:v>0.08822439999858034</x:v>
      </x:c>
      <x:c r="S7" s="24" t="n">
        <x:v>0.08822439999858034</x:v>
      </x:c>
      <x:c r="T7" s="25" t="n">
        <x:v>72.92277716076688</x:v>
      </x:c>
      <x:c r="U7" s="25" t="n">
        <x:v>70.02000000000001</x:v>
      </x:c>
      <x:c r="V7" s="19" t="n">
        <x:v>6995</x:v>
      </x:c>
      <x:c r="W7" s="25" t="n">
        <x:v>15.329097747802734</x:v>
      </x:c>
      <x:c r="X7" s="19" t="n">
        <x:v>5208166400</x:v>
      </x:c>
      <x:c r="Y7" s="25" t="n">
        <x:v>4.174563556909561</x:v>
      </x:c>
      <x:c r="Z7" s="20" t="str">
        <x:v>Q8_0</x:v>
      </x:c>
      <x:c r="AA7" s="20" t="str">
        <x:v>max</x:v>
      </x:c>
      <x:c r="AB7" s="20"/>
      <x:c r="AC7" s="24" t="n">
        <x:v>4.486803100000543</x:v>
      </x:c>
      <x:c r="AD7" s="20" t="str">
        <x:v>unsloth/Qwen3.5-4B-GGUF</x:v>
      </x:c>
      <x:c r="AE7" s="20" t="str">
        <x:v>e87f176479d0855a907a41277aca2f8ee7a09523</x:v>
      </x:c>
      <x:c r="AF7" s="20" t="str">
        <x:v>10cc391b403021dd11c614679d2fd92f611c3681d29e29651b717316965d61e1</x:v>
      </x:c>
      <x:c r="AG7" s="21" t="str">
        <x:v>Ordinary faithful Q8_0, same old DEV12 screening and optional remaining24; no confirmatory result. RSS: INFERRED_UNIQUE_NEW_BACKEND. Native log alignment 12/12; source in Методика.</x:v>
      </x:c>
      <x:c r="AH7" s="21" t="str">
        <x:v>SHA256 VERIFIED by Q8 driver</x:v>
      </x:c>
      <x:c r="AI7" s="20" t="str">
        <x:v>results/20261002T192227Z_63b6c1bf_requested_local_dev/manifest.json</x:v>
      </x:c>
      <x:c r="AJ7" s="20" t="str">
        <x:v>fe5563ab0a8f6b2502bb6b8c4c377724c9d069f0d9149f8ef4841b1dde5a2aad</x:v>
      </x:c>
    </x:row>
    <x:row r="8" ht="78" customHeight="1">
      <x:c r="A8" s="21" t="str">
        <x:v>Phi-4-mini-instruct</x:v>
      </x:c>
      <x:c r="B8" s="20" t="str">
        <x:v>LM Studio API GPU</x:v>
      </x:c>
      <x:c r="C8" s="21" t="str">
        <x:v>PARTIAL_SCREEN_REJECTED</x:v>
      </x:c>
      <x:c r="D8" s="28" t="b">
        <x:v>1</x:v>
      </x:c>
      <x:c r="E8" s="19" t="n">
        <x:v>12</x:v>
      </x:c>
      <x:c r="F8" s="19" t="n">
        <x:v>3</x:v>
      </x:c>
      <x:c r="G8" s="22" t="n">
        <x:v>0.25</x:v>
      </x:c>
      <x:c r="H8" s="19" t="n">
        <x:v>0</x:v>
      </x:c>
      <x:c r="I8" s="19" t="n">
        <x:v>5052</x:v>
      </x:c>
      <x:c r="J8" s="19" t="n">
        <x:v>364</x:v>
      </x:c>
      <x:c r="K8" s="19" t="n">
        <x:v>0</x:v>
      </x:c>
      <x:c r="L8" s="19" t="n">
        <x:v>12</x:v>
      </x:c>
      <x:c r="M8" s="19" t="n">
        <x:v>12</x:v>
      </x:c>
      <x:c r="N8" s="19" t="n">
        <x:v>12</x:v>
      </x:c>
      <x:c r="O8" s="24" t="n">
        <x:v>0.42872351666665054</x:v>
      </x:c>
      <x:c r="P8" s="24" t="n">
        <x:v>0.4293095000030007</x:v>
      </x:c>
      <x:c r="Q8" s="24" t="n">
        <x:v>0.49925059000015604</x:v>
      </x:c>
      <x:c r="R8" s="24" t="n">
        <x:v>0.03364365000015823</x:v>
      </x:c>
      <x:c r="S8" s="24" t="n">
        <x:v>0.03364365000015823</x:v>
      </x:c>
      <x:c r="T8" s="25" t="n">
        <x:v>82.00053588461179</x:v>
      </x:c>
      <x:c r="U8" s="25" t="n">
        <x:v>77.35</x:v>
      </x:c>
      <x:c r="V8" s="19" t="n">
        <x:v>5396</x:v>
      </x:c>
      <x:c r="W8" s="25" t="n">
        <x:v>13.241744995117188</x:v>
      </x:c>
      <x:c r="X8" s="19" t="n">
        <x:v>4586582016</x:v>
      </x:c>
      <x:c r="Y8" s="25" t="n">
        <x:v>3.8040904700756073</x:v>
      </x:c>
      <x:c r="Z8" s="20" t="str">
        <x:v>Q8_0</x:v>
      </x:c>
      <x:c r="AA8" s="20" t="str">
        <x:v>max</x:v>
      </x:c>
      <x:c r="AB8" s="20"/>
      <x:c r="AC8" s="24" t="n">
        <x:v>3.370640799999819</x:v>
      </x:c>
      <x:c r="AD8" s="20" t="str">
        <x:v>unsloth/Phi-4-mini-instruct-GGUF</x:v>
      </x:c>
      <x:c r="AE8" s="20" t="str">
        <x:v>78eb92a46fc37e6b524df991ed9aca9bc6aa7b80</x:v>
      </x:c>
      <x:c r="AF8" s="20" t="str">
        <x:v>26188c6050d525376a88b04514c236c5e28a36730f1e936f2a00314212b7ba42</x:v>
      </x:c>
      <x:c r="AG8" s="21" t="str">
        <x:v>Ordinary faithful Q8_0, same old DEV12 screening and optional remaining24; no confirmatory result. RSS: INFERRED_UNIQUE_NEW_BACKEND. Native log alignment 12/12; source in Методика.</x:v>
      </x:c>
      <x:c r="AH8" s="21" t="str">
        <x:v>SHA256 VERIFIED by Q8 driver</x:v>
      </x:c>
      <x:c r="AI8" s="20" t="str">
        <x:v>results/20261002T182246Z_0265fdd0_requested_local_dev/manifest.json</x:v>
      </x:c>
      <x:c r="AJ8" s="20" t="str">
        <x:v>4801e921e588619faec5a19b238c9620f59bc45cc6c024994cb5886258c6bddf</x:v>
      </x:c>
    </x:row>
    <x:row r="9" ht="78" customHeight="1">
      <x:c r="A9" s="21" t="str">
        <x:v>BitNet b1.58 2B4T legacy GGUF config</x:v>
      </x:c>
      <x:c r="B9" s="20" t="str">
        <x:v>native CPU</x:v>
      </x:c>
      <x:c r="C9" s="21" t="str">
        <x:v>COMPATIBILITY_LIMITED: PARTIAL_SCREEN_REJECTED</x:v>
      </x:c>
      <x:c r="D9" s="28" t="b">
        <x:v>1</x:v>
      </x:c>
      <x:c r="E9" s="19" t="n">
        <x:v>12</x:v>
      </x:c>
      <x:c r="F9" s="19" t="n">
        <x:v>0</x:v>
      </x:c>
      <x:c r="G9" s="22" t="n">
        <x:v>0</x:v>
      </x:c>
      <x:c r="H9" s="19" t="n">
        <x:v>0</x:v>
      </x:c>
      <x:c r="I9" s="19" t="n">
        <x:v>5852</x:v>
      </x:c>
      <x:c r="J9" s="19" t="n">
        <x:v>415</x:v>
      </x:c>
      <x:c r="K9" s="19"/>
      <x:c r="L9" s="19" t="n">
        <x:v>12</x:v>
      </x:c>
      <x:c r="M9" s="19" t="n">
        <x:v>12</x:v>
      </x:c>
      <x:c r="N9" s="19" t="n">
        <x:v>0</x:v>
      </x:c>
      <x:c r="O9" s="24" t="n">
        <x:v>1.7682488333333215</x:v>
      </x:c>
      <x:c r="P9" s="24" t="n">
        <x:v>1.6398662499996135</x:v>
      </x:c>
      <x:c r="Q9" s="24" t="n">
        <x:v>2.605226005002259</x:v>
      </x:c>
      <x:c r="R9" s="24" t="n">
        <x:v>0.4610797999994247</x:v>
      </x:c>
      <x:c r="S9" s="24" t="n">
        <x:v>0.4610797999994247</x:v>
      </x:c>
      <x:c r="T9" s="25" t="n">
        <x:v>31.92044697359453</x:v>
      </x:c>
      <x:c r="U9" s="25" t="n">
        <x:v>25.815792403893855</x:v>
      </x:c>
      <x:c r="V9" s="19" t="n">
        <x:v>841</x:v>
      </x:c>
      <x:c r="W9" s="25" t="n">
        <x:v>12.26901626586914</x:v>
      </x:c>
      <x:c r="X9" s="19" t="n">
        <x:v>1632518144</x:v>
      </x:c>
      <x:c r="Y9" s="25" t="n">
        <x:v>1.1062261462211609</x:v>
      </x:c>
      <x:c r="Z9" s="20" t="str">
        <x:v>native I2_S W1.58A8</x:v>
      </x:c>
      <x:c r="AA9" s="20" t="n">
        <x:v>0</x:v>
      </x:c>
      <x:c r="AB9" s="20" t="n">
        <x:v>0</x:v>
      </x:c>
      <x:c r="AC9" s="24" t="n">
        <x:v>1.0236430000004475</x:v>
      </x:c>
      <x:c r="AD9" s="20" t="str">
        <x:v>microsoft/bitnet-b1.58-2B-4T-gguf</x:v>
      </x:c>
      <x:c r="AE9" s="20" t="str">
        <x:v>a1f2f1c765812aa8af3f6eda4a313707064bba15</x:v>
      </x:c>
      <x:c r="AF9" s="20" t="str">
        <x:v>4221b252fdd5fd25e15847adfeb5ee88886506ba50b8a34548374492884c2162</x:v>
      </x:c>
      <x:c r="AG9" s="21" t="str">
        <x:v>Native CPU I2_S runtime, not ordinary Q8/post-training IQ1. Measured live CPU run. CPU-only binary; whole-GPU usage is background, not BitNet allocation. Missing pre-tokenizer/degraded generation warning: scored quality is not intrinsic model ranking.</x:v>
      </x:c>
      <x:c r="AH9" s="21" t="str">
        <x:v>SHA256 VERIFIED by native driver</x:v>
      </x:c>
      <x:c r="AI9" s="20" t="str">
        <x:v>results/20261002T185320Z_1027a4c6_bitnet_native_dev/manifest.json</x:v>
      </x:c>
      <x:c r="AJ9" s="20" t="str">
        <x:v>af52b5ad2b6b684db9bd154221e333fdefb97dce9f9e2b5c0facd41e5e6ab559</x:v>
      </x:c>
    </x:row>
    <x:row r="10" ht="78" customHeight="1">
      <x:c r="A10" s="21" t="str">
        <x:v>BitNet b1.58 2B4T official-config alternative</x:v>
      </x:c>
      <x:c r="B10" s="20" t="str">
        <x:v>native CPU</x:v>
      </x:c>
      <x:c r="C10" s="21" t="str">
        <x:v>PARTIAL_SCREEN_REJECTED</x:v>
      </x:c>
      <x:c r="D10" s="28" t="b">
        <x:v>1</x:v>
      </x:c>
      <x:c r="E10" s="19" t="n">
        <x:v>12</x:v>
      </x:c>
      <x:c r="F10" s="19" t="n">
        <x:v>0</x:v>
      </x:c>
      <x:c r="G10" s="22" t="n">
        <x:v>0</x:v>
      </x:c>
      <x:c r="H10" s="19" t="n">
        <x:v>0</x:v>
      </x:c>
      <x:c r="I10" s="19" t="n">
        <x:v>5151</x:v>
      </x:c>
      <x:c r="J10" s="19" t="n">
        <x:v>362</x:v>
      </x:c>
      <x:c r="K10" s="19"/>
      <x:c r="L10" s="19" t="n">
        <x:v>12</x:v>
      </x:c>
      <x:c r="M10" s="19" t="n">
        <x:v>12</x:v>
      </x:c>
      <x:c r="N10" s="19" t="n">
        <x:v>0</x:v>
      </x:c>
      <x:c r="O10" s="24" t="n">
        <x:v>1.3285200583335002</x:v>
      </x:c>
      <x:c r="P10" s="24" t="n">
        <x:v>1.1804065500000434</x:v>
      </x:c>
      <x:c r="Q10" s="24" t="n">
        <x:v>1.9544098100024705</x:v>
      </x:c>
      <x:c r="R10" s="24" t="n">
        <x:v>0.281308949997765</x:v>
      </x:c>
      <x:c r="S10" s="24" t="n">
        <x:v>0.281308949997765</x:v>
      </x:c>
      <x:c r="T10" s="25" t="n">
        <x:v>33.40888362819339</x:v>
      </x:c>
      <x:c r="U10" s="25" t="n">
        <x:v>32.22773838032775</x:v>
      </x:c>
      <x:c r="V10" s="19" t="n">
        <x:v>841</x:v>
      </x:c>
      <x:c r="W10" s="25" t="n">
        <x:v>11.6875</x:v>
      </x:c>
      <x:c r="X10" s="19" t="n">
        <x:v>1608794112</x:v>
      </x:c>
      <x:c r="Y10" s="25" t="n">
        <x:v>1.1062261462211609</x:v>
      </x:c>
      <x:c r="Z10" s="20" t="str">
        <x:v>native I2_S W1.58A8</x:v>
      </x:c>
      <x:c r="AA10" s="20" t="n">
        <x:v>0</x:v>
      </x:c>
      <x:c r="AB10" s="20" t="n">
        <x:v>0</x:v>
      </x:c>
      <x:c r="AC10" s="24" t="n">
        <x:v>1.0372697999991942</x:v>
      </x:c>
      <x:c r="AD10" s="20" t="str">
        <x:v>microsoft/bitnet-b1.58-2B-4T-gguf</x:v>
      </x:c>
      <x:c r="AE10" s="20" t="str">
        <x:v>a1f2f1c765812aa8af3f6eda4a313707064bba15</x:v>
      </x:c>
      <x:c r="AF10" s="20" t="str">
        <x:v>4221b252fdd5fd25e15847adfeb5ee88886506ba50b8a34548374492884c2162</x:v>
      </x:c>
      <x:c r="AG10" s="21" t="str">
        <x:v>Native CPU I2_S runtime, not ordinary Q8/post-training IQ1. Measured live CPU run. CPU-only binary; whole-GPU usage is background, not BitNet allocation. Separate official-config runtime compatibility alternative; original12 retained; configuration is an extra factor.</x:v>
      </x:c>
      <x:c r="AH10" s="21" t="str">
        <x:v>SHA256 VERIFIED by native driver</x:v>
      </x:c>
      <x:c r="AI10" s="20" t="str">
        <x:v>results/20261002T191731Z_61e3e23d_bitnet_native_dev/manifest.json</x:v>
      </x:c>
      <x:c r="AJ10" s="20" t="str">
        <x:v>6319c5406901cf7055f50bb2876ec190498c0fd85207f9da24dabb3aa38ba63c</x:v>
      </x:c>
    </x:row>
  </x:sheetData>
  <x:conditionalFormatting sqref="C7:C10">
    <x:cfRule type="containsText" dxfId="6" priority="1" operator="containsText" text="BLOCKED"/>
    <x:cfRule type="containsText" dxfId="7" priority="2" operator="containsText" text="NOT_RUN"/>
    <x:cfRule type="containsText" dxfId="8" priority="3" operator="containsText" text="NOT RUN"/>
    <x:cfRule type="containsText" dxfId="9" priority="4" operator="containsText" text="RATE_LIMITED"/>
    <x:cfRule type="containsText" dxfId="10" priority="5" operator="containsText" text="PARTIAL"/>
    <x:cfRule type="containsText" dxfId="11" priority="6" operator="containsText" text="PAID_NOT_AUTHORIZED"/>
  </x:conditionalFormatting>
  <x:pageMargins left="0.7" right="0.7" top="0.75" bottom="0.75" header="0.3" footer="0.3"/>
  <x:tableParts count="1">
    <x:tablePart xmlns:r="http://schemas.openxmlformats.org/officeDocument/2006/relationships" r:id="R84dc1cf1d2344e04"/>
  </x:tableParts>
</x:worksheet>
</file>

<file path=xl/worksheets/sheet3.xml><?xml version="1.0" encoding="utf-8"?>
<x:worksheet xmlns:x="http://schemas.openxmlformats.org/spreadsheetml/2006/main">
  <x:sheetPr>
    <x:tabColor rgb="FF48668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4" hidden="0" customWidth="1"/>
    <x:col min="2" max="2" width="52" hidden="0" customWidth="1"/>
    <x:col min="3" max="3" width="29" hidden="0" customWidth="1"/>
    <x:col min="4" max="4" width="31" hidden="0" customWidth="1"/>
    <x:col min="5" max="5" width="5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45" hidden="0" customWidth="1"/>
    <x:col min="26" max="26" width="31" hidden="0" customWidth="1"/>
    <x:col min="27" max="27" width="120" hidden="0" customWidth="1"/>
    <x:col min="28" max="28" width="95" hidden="0" customWidth="1"/>
    <x:col min="29" max="29" width="7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6" customHeight="1">
      <x:c r="A2" s="4" t="str">
        <x:v>Все 21 запрошенное имя OpenRouter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</x:row>
    <x:row r="3" ht="26" customHeight="1">
      <x:c r="A3" s="6" t="str">
        <x:v>FREE ONLY $0 new paid authorization; probes/unequalN are not a model ranking. Remote VRAM/RAM/offload N/A.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64" customHeight="1">
      <x:c r="A6" s="15" t="str">
        <x:v>Requested display name</x:v>
      </x:c>
      <x:c r="B6" s="16" t="str">
        <x:v>Actual model ID</x:v>
      </x:c>
      <x:c r="C6" s="16" t="str">
        <x:v>Статус</x:v>
      </x:c>
      <x:c r="D6" s="16" t="str">
        <x:v>Scope</x:v>
      </x:c>
      <x:c r="E6" s="16" t="str">
        <x:v>Объём теста</x:v>
      </x:c>
      <x:c r="F6" s="16" t="str">
        <x:v>Попыток</x:v>
      </x:c>
      <x:c r="G6" s="16" t="str">
        <x:v>Успешных генераций</x:v>
      </x:c>
      <x:c r="H6" s="16" t="str">
        <x:v>Верно</x:v>
      </x:c>
      <x:c r="I6" s="16" t="str">
        <x:v>Качество попыток</x:v>
      </x:c>
      <x:c r="J6" s="16" t="str">
        <x:v>Ошибки</x:v>
      </x:c>
      <x:c r="K6" s="16" t="str">
        <x:v>Structured failures</x:v>
      </x:c>
      <x:c r="L6" s="16" t="str">
        <x:v>Input известно</x:v>
      </x:c>
      <x:c r="M6" s="16" t="str">
        <x:v>Output известно</x:v>
      </x:c>
      <x:c r="N6" s="16" t="str">
        <x:v>Reasoning известно</x:v>
      </x:c>
      <x:c r="O6" s="16" t="str">
        <x:v>Input coverage N</x:v>
      </x:c>
      <x:c r="P6" s="16" t="str">
        <x:v>Output coverage N</x:v>
      </x:c>
      <x:c r="Q6" s="16" t="str">
        <x:v>Reasoning coverage N</x:v>
      </x:c>
      <x:c r="R6" s="16" t="str">
        <x:v>Среднее, с</x:v>
      </x:c>
      <x:c r="S6" s="16" t="str">
        <x:v>p50, с</x:v>
      </x:c>
      <x:c r="T6" s="16" t="str">
        <x:v>p95, с</x:v>
      </x:c>
      <x:c r="U6" s="16" t="str">
        <x:v>TTFT, с</x:v>
      </x:c>
      <x:c r="V6" s="16" t="str">
        <x:v>tok/s</x:v>
      </x:c>
      <x:c r="W6" s="16" t="str">
        <x:v>Reported cost USD</x:v>
      </x:c>
      <x:c r="X6" s="16" t="str">
        <x:v>Unknown cost events</x:v>
      </x:c>
      <x:c r="Y6" s="16" t="str">
        <x:v>Pinned endpoint</x:v>
      </x:c>
      <x:c r="Z6" s="16" t="str">
        <x:v>Identity stability</x:v>
      </x:c>
      <x:c r="AA6" s="16" t="str">
        <x:v>Причина / ограничения</x:v>
      </x:c>
      <x:c r="AB6" s="16" t="str">
        <x:v>Источник</x:v>
      </x:c>
      <x:c r="AC6" s="17" t="str">
        <x:v>SHA256 источника</x:v>
      </x:c>
    </x:row>
    <x:row r="7" ht="62" customHeight="1">
      <x:c r="A7" s="21" t="str">
        <x:v>inclusionAI: Ling 3.1 Flash</x:v>
      </x:c>
      <x:c r="B7" s="21" t="str">
        <x:v>inclusionai/ling-3.1-flash</x:v>
      </x:c>
      <x:c r="C7" s="21" t="str">
        <x:v>BLOCKED_ACCESS_HTTP401_AND_HTTP403</x:v>
      </x:c>
      <x:c r="D7" s="21" t="str">
        <x:v>GENERAL_TEXT_DEV</x:v>
      </x:c>
      <x:c r="E7" s="21" t="str">
        <x:v>ACCESS_DIAGNOSTIC_ONLY</x:v>
      </x:c>
      <x:c r="F7" s="19" t="n">
        <x:v>2</x:v>
      </x:c>
      <x:c r="G7" s="19" t="n">
        <x:v>0</x:v>
      </x:c>
      <x:c r="H7" s="19"/>
      <x:c r="I7" s="22"/>
      <x:c r="J7" s="19" t="n">
        <x:v>2</x:v>
      </x:c>
      <x:c r="K7" s="19"/>
      <x:c r="L7" s="19"/>
      <x:c r="M7" s="19"/>
      <x:c r="N7" s="19"/>
      <x:c r="O7" s="19" t="n">
        <x:v>0</x:v>
      </x:c>
      <x:c r="P7" s="19" t="n">
        <x:v>0</x:v>
      </x:c>
      <x:c r="Q7" s="19" t="n">
        <x:v>0</x:v>
      </x:c>
      <x:c r="R7" s="24"/>
      <x:c r="S7" s="24"/>
      <x:c r="T7" s="24"/>
      <x:c r="U7" s="24"/>
      <x:c r="V7" s="24"/>
      <x:c r="W7" s="23"/>
      <x:c r="X7" s="19" t="n">
        <x:v>2</x:v>
      </x:c>
      <x:c r="Y7" s="20" t="str">
        <x:v>novita</x:v>
      </x:c>
      <x:c r="Z7" s="20" t="str">
        <x:v>FIXED_CATALOG_ALIAS; remote weight/version immutability UNKNOWN</x:v>
      </x:c>
      <x:c r="AA7" s="21" t="str">
        <x:v>Management-key401 cause verified; ordinary-key403 exact cause UNKNOWN. No generated output.</x:v>
      </x:c>
      <x:c r="AB7" s="20" t="str">
        <x:v>results/20261002_183639Z_openrouter_zero_diagnostic/current_21_model_matrix.json</x:v>
      </x:c>
      <x:c r="AC7" s="20" t="str">
        <x:v>8d55fb8a347b7bac8a6974b076e0940ebfdeb18cc2ca41328dcf66b5fcb11251</x:v>
      </x:c>
    </x:row>
    <x:row r="8" ht="62" customHeight="1">
      <x:c r="A8" s="21" t="str">
        <x:v>Apodex: Apodex 1.1 Mini (free)</x:v>
      </x:c>
      <x:c r="B8" s="21" t="str">
        <x:v>apodex/apodex-1.1-mini:free</x:v>
      </x:c>
      <x:c r="C8" s="21" t="str">
        <x:v>NOT_RUN</x:v>
      </x:c>
      <x:c r="D8" s="21" t="str">
        <x:v>GENERAL_TEXT_DEV</x:v>
      </x:c>
      <x:c r="E8" s="21" t="str">
        <x:v>METADATA_ONLY</x:v>
      </x:c>
      <x:c r="F8" s="19" t="n">
        <x:v>0</x:v>
      </x:c>
      <x:c r="G8" s="19" t="n">
        <x:v>0</x:v>
      </x:c>
      <x:c r="H8" s="19"/>
      <x:c r="I8" s="22"/>
      <x:c r="J8" s="19" t="n">
        <x:v>0</x:v>
      </x:c>
      <x:c r="K8" s="19"/>
      <x:c r="L8" s="19"/>
      <x:c r="M8" s="19"/>
      <x:c r="N8" s="19"/>
      <x:c r="O8" s="19" t="n">
        <x:v>0</x:v>
      </x:c>
      <x:c r="P8" s="19" t="n">
        <x:v>0</x:v>
      </x:c>
      <x:c r="Q8" s="19" t="n">
        <x:v>0</x:v>
      </x:c>
      <x:c r="R8" s="24"/>
      <x:c r="S8" s="24"/>
      <x:c r="T8" s="24"/>
      <x:c r="U8" s="24"/>
      <x:c r="V8" s="24"/>
      <x:c r="W8" s="23"/>
      <x:c r="X8" s="19" t="n">
        <x:v>0</x:v>
      </x:c>
      <x:c r="Y8" s="20" t="str">
        <x:v>novita/bf16</x:v>
      </x:c>
      <x:c r="Z8" s="20" t="str">
        <x:v>FIXED_CATALOG_ALIAS; remote weight/version immutability UNKNOWN</x:v>
      </x:c>
      <x:c r="AA8" s="21" t="str">
        <x:v>No completion attempted for this candidate; shared access/privacy prerequisite blocked the screen. Own compatibility UNKNOWN.</x:v>
      </x:c>
      <x:c r="AB8" s="20" t="str">
        <x:v>results/20261002_183639Z_openrouter_zero_diagnostic/current_21_model_matrix.json</x:v>
      </x:c>
      <x:c r="AC8" s="20" t="str">
        <x:v>8d55fb8a347b7bac8a6974b076e0940ebfdeb18cc2ca41328dcf66b5fcb11251</x:v>
      </x:c>
    </x:row>
    <x:row r="9" ht="62" customHeight="1">
      <x:c r="A9" s="21" t="str">
        <x:v>Space Bunny Alpha</x:v>
      </x:c>
      <x:c r="B9" s="21" t="str">
        <x:v>stealth/space-bunny-alpha</x:v>
      </x:c>
      <x:c r="C9" s="21" t="str">
        <x:v>NOT_RUN</x:v>
      </x:c>
      <x:c r="D9" s="21" t="str">
        <x:v>GENERAL_TEXT_DEV</x:v>
      </x:c>
      <x:c r="E9" s="21" t="str">
        <x:v>METADATA_ONLY</x:v>
      </x:c>
      <x:c r="F9" s="19" t="n">
        <x:v>0</x:v>
      </x:c>
      <x:c r="G9" s="19" t="n">
        <x:v>0</x:v>
      </x:c>
      <x:c r="H9" s="19"/>
      <x:c r="I9" s="22"/>
      <x:c r="J9" s="19" t="n">
        <x:v>0</x:v>
      </x:c>
      <x:c r="K9" s="19"/>
      <x:c r="L9" s="19"/>
      <x:c r="M9" s="19"/>
      <x:c r="N9" s="19"/>
      <x:c r="O9" s="19" t="n">
        <x:v>0</x:v>
      </x:c>
      <x:c r="P9" s="19" t="n">
        <x:v>0</x:v>
      </x:c>
      <x:c r="Q9" s="19" t="n">
        <x:v>0</x:v>
      </x:c>
      <x:c r="R9" s="24"/>
      <x:c r="S9" s="24"/>
      <x:c r="T9" s="24"/>
      <x:c r="U9" s="24"/>
      <x:c r="V9" s="24"/>
      <x:c r="W9" s="23"/>
      <x:c r="X9" s="19" t="n">
        <x:v>0</x:v>
      </x:c>
      <x:c r="Y9" s="20" t="str">
        <x:v>stealth</x:v>
      </x:c>
      <x:c r="Z9" s="20" t="str">
        <x:v>EXPLORATORY_PREVIEW</x:v>
      </x:c>
      <x:c r="AA9" s="21" t="str">
        <x:v>No completion attempted for this candidate; shared access/privacy prerequisite blocked the screen. Own compatibility UNKNOWN.</x:v>
      </x:c>
      <x:c r="AB9" s="20" t="str">
        <x:v>results/20261002_183639Z_openrouter_zero_diagnostic/current_21_model_matrix.json</x:v>
      </x:c>
      <x:c r="AC9" s="20" t="str">
        <x:v>8d55fb8a347b7bac8a6974b076e0940ebfdeb18cc2ca41328dcf66b5fcb11251</x:v>
      </x:c>
    </x:row>
    <x:row r="10" ht="62" customHeight="1">
      <x:c r="A10" s="21" t="str">
        <x:v>inclusionAI: Ling 3.0 Flash Sante (free)</x:v>
      </x:c>
      <x:c r="B10" s="21" t="str">
        <x:v>inclusionai/ling-3.0-flash-sante:free</x:v>
      </x:c>
      <x:c r="C10" s="21" t="str">
        <x:v>NOT_RUN</x:v>
      </x:c>
      <x:c r="D10" s="21" t="str">
        <x:v>HEALTH_DOMAIN_TRANSFER_SMOKE</x:v>
      </x:c>
      <x:c r="E10" s="21" t="str">
        <x:v>METADATA_ONLY</x:v>
      </x:c>
      <x:c r="F10" s="19" t="n">
        <x:v>0</x:v>
      </x:c>
      <x:c r="G10" s="19" t="n">
        <x:v>0</x:v>
      </x:c>
      <x:c r="H10" s="19"/>
      <x:c r="I10" s="22"/>
      <x:c r="J10" s="19" t="n">
        <x:v>0</x:v>
      </x:c>
      <x:c r="K10" s="19"/>
      <x:c r="L10" s="19"/>
      <x:c r="M10" s="19"/>
      <x:c r="N10" s="19"/>
      <x:c r="O10" s="19" t="n">
        <x:v>0</x:v>
      </x:c>
      <x:c r="P10" s="19" t="n">
        <x:v>0</x:v>
      </x:c>
      <x:c r="Q10" s="19" t="n">
        <x:v>0</x:v>
      </x:c>
      <x:c r="R10" s="24"/>
      <x:c r="S10" s="24"/>
      <x:c r="T10" s="24"/>
      <x:c r="U10" s="24"/>
      <x:c r="V10" s="24"/>
      <x:c r="W10" s="23"/>
      <x:c r="X10" s="19" t="n">
        <x:v>0</x:v>
      </x:c>
      <x:c r="Y10" s="20" t="str">
        <x:v>novita</x:v>
      </x:c>
      <x:c r="Z10" s="20" t="str">
        <x:v>FIXED_CATALOG_ALIAS; remote weight/version immutability UNKNOWN</x:v>
      </x:c>
      <x:c r="AA10" s="21" t="str">
        <x:v>No completion attempted for this candidate; shared access/privacy prerequisite blocked the screen. Own compatibility UNKNOWN.</x:v>
      </x:c>
      <x:c r="AB10" s="20" t="str">
        <x:v>results/20261002_183639Z_openrouter_zero_diagnostic/current_21_model_matrix.json</x:v>
      </x:c>
      <x:c r="AC10" s="20" t="str">
        <x:v>8d55fb8a347b7bac8a6974b076e0940ebfdeb18cc2ca41328dcf66b5fcb11251</x:v>
      </x:c>
    </x:row>
    <x:row r="11" ht="62" customHeight="1">
      <x:c r="A11" s="21" t="str">
        <x:v>Qwen: Qwen3.8 27B (free)</x:v>
      </x:c>
      <x:c r="B11" s="21" t="str">
        <x:v>qwen/qwen3.8-27b:free</x:v>
      </x:c>
      <x:c r="C11" s="21" t="str">
        <x:v>NOT_RUN</x:v>
      </x:c>
      <x:c r="D11" s="21" t="str">
        <x:v>GENERAL_TEXT_DEV</x:v>
      </x:c>
      <x:c r="E11" s="21" t="str">
        <x:v>METADATA_ONLY</x:v>
      </x:c>
      <x:c r="F11" s="19" t="n">
        <x:v>0</x:v>
      </x:c>
      <x:c r="G11" s="19" t="n">
        <x:v>0</x:v>
      </x:c>
      <x:c r="H11" s="19"/>
      <x:c r="I11" s="22"/>
      <x:c r="J11" s="19" t="n">
        <x:v>0</x:v>
      </x:c>
      <x:c r="K11" s="19"/>
      <x:c r="L11" s="19"/>
      <x:c r="M11" s="19"/>
      <x:c r="N11" s="19"/>
      <x:c r="O11" s="19" t="n">
        <x:v>0</x:v>
      </x:c>
      <x:c r="P11" s="19" t="n">
        <x:v>0</x:v>
      </x:c>
      <x:c r="Q11" s="19" t="n">
        <x:v>0</x:v>
      </x:c>
      <x:c r="R11" s="24"/>
      <x:c r="S11" s="24"/>
      <x:c r="T11" s="24"/>
      <x:c r="U11" s="24"/>
      <x:c r="V11" s="24"/>
      <x:c r="W11" s="23"/>
      <x:c r="X11" s="19" t="n">
        <x:v>0</x:v>
      </x:c>
      <x:c r="Y11" s="20" t="str">
        <x:v>modelrun/fp4</x:v>
      </x:c>
      <x:c r="Z11" s="20" t="str">
        <x:v>FIXED_CATALOG_ALIAS; remote weight/version immutability UNKNOWN</x:v>
      </x:c>
      <x:c r="AA11" s="21" t="str">
        <x:v>No completion attempted for this candidate; shared access/privacy prerequisite blocked the screen. Own compatibility UNKNOWN.</x:v>
      </x:c>
      <x:c r="AB11" s="20" t="str">
        <x:v>results/20261002_183639Z_openrouter_zero_diagnostic/current_21_model_matrix.json</x:v>
      </x:c>
      <x:c r="AC11" s="20" t="str">
        <x:v>8d55fb8a347b7bac8a6974b076e0940ebfdeb18cc2ca41328dcf66b5fcb11251</x:v>
      </x:c>
    </x:row>
    <x:row r="12" ht="62" customHeight="1">
      <x:c r="A12" s="21" t="str">
        <x:v>Dots Studio: Dots3-Note Preview (free)</x:v>
      </x:c>
      <x:c r="B12" s="21" t="str">
        <x:v>dots-studio/dots-3-note-preview:free</x:v>
      </x:c>
      <x:c r="C12" s="21" t="str">
        <x:v>NOT_RUN</x:v>
      </x:c>
      <x:c r="D12" s="21" t="str">
        <x:v>GENERAL_TEXT_DEV</x:v>
      </x:c>
      <x:c r="E12" s="21" t="str">
        <x:v>METADATA_ONLY</x:v>
      </x:c>
      <x:c r="F12" s="19" t="n">
        <x:v>0</x:v>
      </x:c>
      <x:c r="G12" s="19" t="n">
        <x:v>0</x:v>
      </x:c>
      <x:c r="H12" s="19"/>
      <x:c r="I12" s="22"/>
      <x:c r="J12" s="19" t="n">
        <x:v>0</x:v>
      </x:c>
      <x:c r="K12" s="19"/>
      <x:c r="L12" s="19"/>
      <x:c r="M12" s="19"/>
      <x:c r="N12" s="19"/>
      <x:c r="O12" s="19" t="n">
        <x:v>0</x:v>
      </x:c>
      <x:c r="P12" s="19" t="n">
        <x:v>0</x:v>
      </x:c>
      <x:c r="Q12" s="19" t="n">
        <x:v>0</x:v>
      </x:c>
      <x:c r="R12" s="24"/>
      <x:c r="S12" s="24"/>
      <x:c r="T12" s="24"/>
      <x:c r="U12" s="24"/>
      <x:c r="V12" s="24"/>
      <x:c r="W12" s="23"/>
      <x:c r="X12" s="19" t="n">
        <x:v>0</x:v>
      </x:c>
      <x:c r="Y12" s="20" t="str">
        <x:v>atlas-cloud/fp8</x:v>
      </x:c>
      <x:c r="Z12" s="20" t="str">
        <x:v>EXPLORATORY_PREVIEW</x:v>
      </x:c>
      <x:c r="AA12" s="21" t="str">
        <x:v>No completion attempted for this candidate; shared access/privacy prerequisite blocked the screen. Own compatibility UNKNOWN.</x:v>
      </x:c>
      <x:c r="AB12" s="20" t="str">
        <x:v>results/20261002_183639Z_openrouter_zero_diagnostic/current_21_model_matrix.json</x:v>
      </x:c>
      <x:c r="AC12" s="20" t="str">
        <x:v>8d55fb8a347b7bac8a6974b076e0940ebfdeb18cc2ca41328dcf66b5fcb11251</x:v>
      </x:c>
    </x:row>
    <x:row r="13" ht="62" customHeight="1">
      <x:c r="A13" s="21" t="str">
        <x:v>LiquidAI: LFM2.5-2.6B (free)</x:v>
      </x:c>
      <x:c r="B13" s="21" t="str">
        <x:v>liquid/lfm-2.5-2.6b:free</x:v>
      </x:c>
      <x:c r="C13" s="21" t="str">
        <x:v>BLOCKED_ACCOUNT_PRIVACY_DIAGNOSTIC_HTTP404</x:v>
      </x:c>
      <x:c r="D13" s="21" t="str">
        <x:v>GENERAL_TEXT_DEV</x:v>
      </x:c>
      <x:c r="E13" s="21" t="str">
        <x:v>ACCESS_DIAGNOSTIC_ONLY</x:v>
      </x:c>
      <x:c r="F13" s="19" t="n">
        <x:v>1</x:v>
      </x:c>
      <x:c r="G13" s="19" t="n">
        <x:v>0</x:v>
      </x:c>
      <x:c r="H13" s="19"/>
      <x:c r="I13" s="22"/>
      <x:c r="J13" s="19" t="n">
        <x:v>1</x:v>
      </x:c>
      <x:c r="K13" s="19"/>
      <x:c r="L13" s="19"/>
      <x:c r="M13" s="19"/>
      <x:c r="N13" s="19"/>
      <x:c r="O13" s="19" t="n">
        <x:v>0</x:v>
      </x:c>
      <x:c r="P13" s="19" t="n">
        <x:v>0</x:v>
      </x:c>
      <x:c r="Q13" s="19" t="n">
        <x:v>0</x:v>
      </x:c>
      <x:c r="R13" s="24"/>
      <x:c r="S13" s="24"/>
      <x:c r="T13" s="24"/>
      <x:c r="U13" s="24"/>
      <x:c r="V13" s="24"/>
      <x:c r="W13" s="23"/>
      <x:c r="X13" s="19" t="n">
        <x:v>1</x:v>
      </x:c>
      <x:c r="Y13" s="20" t="str">
        <x:v>liquid/fp8</x:v>
      </x:c>
      <x:c r="Z13" s="20" t="str">
        <x:v>FIXED_CATALOG_ALIAS; remote weight/version immutability UNKNOWN</x:v>
      </x:c>
      <x:c r="AA13" s="21" t="str">
        <x:v>One explicit :free diagnostic rejected for both free model training and ZDR account settings. No generated output.</x:v>
      </x:c>
      <x:c r="AB13" s="20" t="str">
        <x:v>results/20261002_183639Z_openrouter_zero_diagnostic/current_21_model_matrix.json</x:v>
      </x:c>
      <x:c r="AC13" s="20" t="str">
        <x:v>8d55fb8a347b7bac8a6974b076e0940ebfdeb18cc2ca41328dcf66b5fcb11251</x:v>
      </x:c>
    </x:row>
    <x:row r="14" ht="62" customHeight="1">
      <x:c r="A14" s="21" t="str">
        <x:v>NVIDIA: Nemotron 3.5 Lightning (free)</x:v>
      </x:c>
      <x:c r="B14" s="21" t="str">
        <x:v>nvidia/nemotron-3.5-lightning:free</x:v>
      </x:c>
      <x:c r="C14" s="21" t="str">
        <x:v>NOT_RUN</x:v>
      </x:c>
      <x:c r="D14" s="21" t="str">
        <x:v>GENERAL_TEXT_DEV</x:v>
      </x:c>
      <x:c r="E14" s="21" t="str">
        <x:v>METADATA_ONLY</x:v>
      </x:c>
      <x:c r="F14" s="19" t="n">
        <x:v>0</x:v>
      </x:c>
      <x:c r="G14" s="19" t="n">
        <x:v>0</x:v>
      </x:c>
      <x:c r="H14" s="19"/>
      <x:c r="I14" s="22"/>
      <x:c r="J14" s="19" t="n">
        <x:v>0</x:v>
      </x:c>
      <x:c r="K14" s="19"/>
      <x:c r="L14" s="19"/>
      <x:c r="M14" s="19"/>
      <x:c r="N14" s="19"/>
      <x:c r="O14" s="19" t="n">
        <x:v>0</x:v>
      </x:c>
      <x:c r="P14" s="19" t="n">
        <x:v>0</x:v>
      </x:c>
      <x:c r="Q14" s="19" t="n">
        <x:v>0</x:v>
      </x:c>
      <x:c r="R14" s="24"/>
      <x:c r="S14" s="24"/>
      <x:c r="T14" s="24"/>
      <x:c r="U14" s="24"/>
      <x:c r="V14" s="24"/>
      <x:c r="W14" s="23"/>
      <x:c r="X14" s="19" t="n">
        <x:v>0</x:v>
      </x:c>
      <x:c r="Y14" s="20" t="str">
        <x:v>nvidia/nvfp4</x:v>
      </x:c>
      <x:c r="Z14" s="20" t="str">
        <x:v>FIXED_CATALOG_ALIAS; remote weight/version immutability UNKNOWN</x:v>
      </x:c>
      <x:c r="AA14" s="21" t="str">
        <x:v>No completion attempted for this candidate; shared access/privacy prerequisite blocked the screen. Own compatibility UNKNOWN.</x:v>
      </x:c>
      <x:c r="AB14" s="20" t="str">
        <x:v>results/20261002_183639Z_openrouter_zero_diagnostic/current_21_model_matrix.json</x:v>
      </x:c>
      <x:c r="AC14" s="20" t="str">
        <x:v>8d55fb8a347b7bac8a6974b076e0940ebfdeb18cc2ca41328dcf66b5fcb11251</x:v>
      </x:c>
    </x:row>
    <x:row r="15" ht="62" customHeight="1">
      <x:c r="A15" s="21" t="str">
        <x:v>Thinking Machines: Inkling Small (free)</x:v>
      </x:c>
      <x:c r="B15" s="21" t="str">
        <x:v>thinkingmachines/inkling-small:free</x:v>
      </x:c>
      <x:c r="C15" s="21" t="str">
        <x:v>NOT_RUN</x:v>
      </x:c>
      <x:c r="D15" s="21" t="str">
        <x:v>GENERAL_TEXT_DEV</x:v>
      </x:c>
      <x:c r="E15" s="21" t="str">
        <x:v>METADATA_ONLY</x:v>
      </x:c>
      <x:c r="F15" s="19" t="n">
        <x:v>0</x:v>
      </x:c>
      <x:c r="G15" s="19" t="n">
        <x:v>0</x:v>
      </x:c>
      <x:c r="H15" s="19"/>
      <x:c r="I15" s="22"/>
      <x:c r="J15" s="19" t="n">
        <x:v>0</x:v>
      </x:c>
      <x:c r="K15" s="19"/>
      <x:c r="L15" s="19"/>
      <x:c r="M15" s="19"/>
      <x:c r="N15" s="19"/>
      <x:c r="O15" s="19" t="n">
        <x:v>0</x:v>
      </x:c>
      <x:c r="P15" s="19" t="n">
        <x:v>0</x:v>
      </x:c>
      <x:c r="Q15" s="19" t="n">
        <x:v>0</x:v>
      </x:c>
      <x:c r="R15" s="24"/>
      <x:c r="S15" s="24"/>
      <x:c r="T15" s="24"/>
      <x:c r="U15" s="24"/>
      <x:c r="V15" s="24"/>
      <x:c r="W15" s="23"/>
      <x:c r="X15" s="19" t="n">
        <x:v>0</x:v>
      </x:c>
      <x:c r="Y15" s="20" t="str">
        <x:v>thinkingmachines/nvfp4</x:v>
      </x:c>
      <x:c r="Z15" s="20" t="str">
        <x:v>FIXED_CATALOG_ALIAS; remote weight/version immutability UNKNOWN</x:v>
      </x:c>
      <x:c r="AA15" s="21" t="str">
        <x:v>No completion attempted for this candidate; shared access/privacy prerequisite blocked the screen. Own compatibility UNKNOWN.</x:v>
      </x:c>
      <x:c r="AB15" s="20" t="str">
        <x:v>results/20261002_183639Z_openrouter_zero_diagnostic/current_21_model_matrix.json</x:v>
      </x:c>
      <x:c r="AC15" s="20" t="str">
        <x:v>8d55fb8a347b7bac8a6974b076e0940ebfdeb18cc2ca41328dcf66b5fcb11251</x:v>
      </x:c>
    </x:row>
    <x:row r="16" ht="62" customHeight="1">
      <x:c r="A16" s="21" t="str">
        <x:v>Poolside: Laguna S 2.1 (free)</x:v>
      </x:c>
      <x:c r="B16" s="21" t="str">
        <x:v>poolside/laguna-s-2.1:free</x:v>
      </x:c>
      <x:c r="C16" s="21" t="str">
        <x:v>NOT_RUN</x:v>
      </x:c>
      <x:c r="D16" s="21" t="str">
        <x:v>CODING_SPECIALIZED_SMOKE</x:v>
      </x:c>
      <x:c r="E16" s="21" t="str">
        <x:v>METADATA_ONLY</x:v>
      </x:c>
      <x:c r="F16" s="19" t="n">
        <x:v>0</x:v>
      </x:c>
      <x:c r="G16" s="19" t="n">
        <x:v>0</x:v>
      </x:c>
      <x:c r="H16" s="19"/>
      <x:c r="I16" s="22"/>
      <x:c r="J16" s="19" t="n">
        <x:v>0</x:v>
      </x:c>
      <x:c r="K16" s="19"/>
      <x:c r="L16" s="19"/>
      <x:c r="M16" s="19"/>
      <x:c r="N16" s="19"/>
      <x:c r="O16" s="19" t="n">
        <x:v>0</x:v>
      </x:c>
      <x:c r="P16" s="19" t="n">
        <x:v>0</x:v>
      </x:c>
      <x:c r="Q16" s="19" t="n">
        <x:v>0</x:v>
      </x:c>
      <x:c r="R16" s="24"/>
      <x:c r="S16" s="24"/>
      <x:c r="T16" s="24"/>
      <x:c r="U16" s="24"/>
      <x:c r="V16" s="24"/>
      <x:c r="W16" s="23"/>
      <x:c r="X16" s="19" t="n">
        <x:v>0</x:v>
      </x:c>
      <x:c r="Y16" s="20" t="str">
        <x:v>poolside/fp4</x:v>
      </x:c>
      <x:c r="Z16" s="20" t="str">
        <x:v>FIXED_CATALOG_ALIAS; remote weight/version immutability UNKNOWN</x:v>
      </x:c>
      <x:c r="AA16" s="21" t="str">
        <x:v>No completion attempted for this candidate; shared access/privacy prerequisite blocked the screen. Own compatibility UNKNOWN.</x:v>
      </x:c>
      <x:c r="AB16" s="20" t="str">
        <x:v>results/20261002_183639Z_openrouter_zero_diagnostic/current_21_model_matrix.json</x:v>
      </x:c>
      <x:c r="AC16" s="20" t="str">
        <x:v>8d55fb8a347b7bac8a6974b076e0940ebfdeb18cc2ca41328dcf66b5fcb11251</x:v>
      </x:c>
    </x:row>
    <x:row r="17" ht="62" customHeight="1">
      <x:c r="A17" s="21" t="str">
        <x:v>Thinking Machines: Inkling (free)</x:v>
      </x:c>
      <x:c r="B17" s="21" t="str">
        <x:v>thinkingmachines/inkling:free</x:v>
      </x:c>
      <x:c r="C17" s="21" t="str">
        <x:v>NOT_RUN</x:v>
      </x:c>
      <x:c r="D17" s="21" t="str">
        <x:v>GENERAL_TEXT_DEV</x:v>
      </x:c>
      <x:c r="E17" s="21" t="str">
        <x:v>METADATA_ONLY</x:v>
      </x:c>
      <x:c r="F17" s="19" t="n">
        <x:v>0</x:v>
      </x:c>
      <x:c r="G17" s="19" t="n">
        <x:v>0</x:v>
      </x:c>
      <x:c r="H17" s="19"/>
      <x:c r="I17" s="22"/>
      <x:c r="J17" s="19" t="n">
        <x:v>0</x:v>
      </x:c>
      <x:c r="K17" s="19"/>
      <x:c r="L17" s="19"/>
      <x:c r="M17" s="19"/>
      <x:c r="N17" s="19"/>
      <x:c r="O17" s="19" t="n">
        <x:v>0</x:v>
      </x:c>
      <x:c r="P17" s="19" t="n">
        <x:v>0</x:v>
      </x:c>
      <x:c r="Q17" s="19" t="n">
        <x:v>0</x:v>
      </x:c>
      <x:c r="R17" s="24"/>
      <x:c r="S17" s="24"/>
      <x:c r="T17" s="24"/>
      <x:c r="U17" s="24"/>
      <x:c r="V17" s="24"/>
      <x:c r="W17" s="23"/>
      <x:c r="X17" s="19" t="n">
        <x:v>0</x:v>
      </x:c>
      <x:c r="Y17" s="20" t="str">
        <x:v>thinkingmachines/nvfp4</x:v>
      </x:c>
      <x:c r="Z17" s="20" t="str">
        <x:v>FIXED_CATALOG_ALIAS; remote weight/version immutability UNKNOWN</x:v>
      </x:c>
      <x:c r="AA17" s="21" t="str">
        <x:v>No completion attempted for this candidate; shared access/privacy prerequisite blocked the screen. Own compatibility UNKNOWN.</x:v>
      </x:c>
      <x:c r="AB17" s="20" t="str">
        <x:v>results/20261002_183639Z_openrouter_zero_diagnostic/current_21_model_matrix.json</x:v>
      </x:c>
      <x:c r="AC17" s="20" t="str">
        <x:v>8d55fb8a347b7bac8a6974b076e0940ebfdeb18cc2ca41328dcf66b5fcb11251</x:v>
      </x:c>
    </x:row>
    <x:row r="18" ht="62" customHeight="1">
      <x:c r="A18" s="21" t="str">
        <x:v>Poolside: Laguna XS 2.1 (free)</x:v>
      </x:c>
      <x:c r="B18" s="21" t="str">
        <x:v>poolside/laguna-xs-2.1:free</x:v>
      </x:c>
      <x:c r="C18" s="21" t="str">
        <x:v>NOT_RUN</x:v>
      </x:c>
      <x:c r="D18" s="21" t="str">
        <x:v>CODING_SPECIALIZED_SMOKE</x:v>
      </x:c>
      <x:c r="E18" s="21" t="str">
        <x:v>METADATA_ONLY</x:v>
      </x:c>
      <x:c r="F18" s="19" t="n">
        <x:v>0</x:v>
      </x:c>
      <x:c r="G18" s="19" t="n">
        <x:v>0</x:v>
      </x:c>
      <x:c r="H18" s="19"/>
      <x:c r="I18" s="22"/>
      <x:c r="J18" s="19" t="n">
        <x:v>0</x:v>
      </x:c>
      <x:c r="K18" s="19"/>
      <x:c r="L18" s="19"/>
      <x:c r="M18" s="19"/>
      <x:c r="N18" s="19"/>
      <x:c r="O18" s="19" t="n">
        <x:v>0</x:v>
      </x:c>
      <x:c r="P18" s="19" t="n">
        <x:v>0</x:v>
      </x:c>
      <x:c r="Q18" s="19" t="n">
        <x:v>0</x:v>
      </x:c>
      <x:c r="R18" s="24"/>
      <x:c r="S18" s="24"/>
      <x:c r="T18" s="24"/>
      <x:c r="U18" s="24"/>
      <x:c r="V18" s="24"/>
      <x:c r="W18" s="23"/>
      <x:c r="X18" s="19" t="n">
        <x:v>0</x:v>
      </x:c>
      <x:c r="Y18" s="20" t="str">
        <x:v>poolside/fp8</x:v>
      </x:c>
      <x:c r="Z18" s="20" t="str">
        <x:v>FIXED_CATALOG_ALIAS; remote weight/version immutability UNKNOWN</x:v>
      </x:c>
      <x:c r="AA18" s="21" t="str">
        <x:v>No completion attempted for this candidate; shared access/privacy prerequisite blocked the screen. Own compatibility UNKNOWN.</x:v>
      </x:c>
      <x:c r="AB18" s="20" t="str">
        <x:v>results/20261002_183639Z_openrouter_zero_diagnostic/current_21_model_matrix.json</x:v>
      </x:c>
      <x:c r="AC18" s="20" t="str">
        <x:v>8d55fb8a347b7bac8a6974b076e0940ebfdeb18cc2ca41328dcf66b5fcb11251</x:v>
      </x:c>
    </x:row>
    <x:row r="19" ht="62" customHeight="1">
      <x:c r="A19" s="21" t="str">
        <x:v>Cohere: North Mini Code (free)</x:v>
      </x:c>
      <x:c r="B19" s="21" t="str">
        <x:v>cohere/north-mini-code:free</x:v>
      </x:c>
      <x:c r="C19" s="21" t="str">
        <x:v>NOT_RUN</x:v>
      </x:c>
      <x:c r="D19" s="21" t="str">
        <x:v>CODING_SPECIALIZED_SMOKE</x:v>
      </x:c>
      <x:c r="E19" s="21" t="str">
        <x:v>METADATA_ONLY</x:v>
      </x:c>
      <x:c r="F19" s="19" t="n">
        <x:v>0</x:v>
      </x:c>
      <x:c r="G19" s="19" t="n">
        <x:v>0</x:v>
      </x:c>
      <x:c r="H19" s="19"/>
      <x:c r="I19" s="22"/>
      <x:c r="J19" s="19" t="n">
        <x:v>0</x:v>
      </x:c>
      <x:c r="K19" s="19"/>
      <x:c r="L19" s="19"/>
      <x:c r="M19" s="19"/>
      <x:c r="N19" s="19"/>
      <x:c r="O19" s="19" t="n">
        <x:v>0</x:v>
      </x:c>
      <x:c r="P19" s="19" t="n">
        <x:v>0</x:v>
      </x:c>
      <x:c r="Q19" s="19" t="n">
        <x:v>0</x:v>
      </x:c>
      <x:c r="R19" s="24"/>
      <x:c r="S19" s="24"/>
      <x:c r="T19" s="24"/>
      <x:c r="U19" s="24"/>
      <x:c r="V19" s="24"/>
      <x:c r="W19" s="23"/>
      <x:c r="X19" s="19" t="n">
        <x:v>0</x:v>
      </x:c>
      <x:c r="Y19" s="20" t="str">
        <x:v>cohere</x:v>
      </x:c>
      <x:c r="Z19" s="20" t="str">
        <x:v>FIXED_CATALOG_ALIAS; remote weight/version immutability UNKNOWN</x:v>
      </x:c>
      <x:c r="AA19" s="21" t="str">
        <x:v>No completion attempted for this candidate; shared access/privacy prerequisite blocked the screen. Own compatibility UNKNOWN.</x:v>
      </x:c>
      <x:c r="AB19" s="20" t="str">
        <x:v>results/20261002_183639Z_openrouter_zero_diagnostic/current_21_model_matrix.json</x:v>
      </x:c>
      <x:c r="AC19" s="20" t="str">
        <x:v>8d55fb8a347b7bac8a6974b076e0940ebfdeb18cc2ca41328dcf66b5fcb11251</x:v>
      </x:c>
    </x:row>
    <x:row r="20" ht="62" customHeight="1">
      <x:c r="A20" s="21" t="str">
        <x:v>NVIDIA: Nemotron 3.5 Content Safety (free)</x:v>
      </x:c>
      <x:c r="B20" s="21" t="str">
        <x:v>nvidia/nemotron-3.5-content-safety:free</x:v>
      </x:c>
      <x:c r="C20" s="21" t="str">
        <x:v>SPECIALIZED_NOT_COMPARABLE</x:v>
      </x:c>
      <x:c r="D20" s="21"/>
      <x:c r="E20" s="21" t="str">
        <x:v>METADATA_ONLY</x:v>
      </x:c>
      <x:c r="F20" s="19" t="n">
        <x:v>0</x:v>
      </x:c>
      <x:c r="G20" s="19" t="n">
        <x:v>0</x:v>
      </x:c>
      <x:c r="H20" s="19"/>
      <x:c r="I20" s="22"/>
      <x:c r="J20" s="19" t="n">
        <x:v>0</x:v>
      </x:c>
      <x:c r="K20" s="19"/>
      <x:c r="L20" s="19"/>
      <x:c r="M20" s="19"/>
      <x:c r="N20" s="19"/>
      <x:c r="O20" s="19" t="n">
        <x:v>0</x:v>
      </x:c>
      <x:c r="P20" s="19" t="n">
        <x:v>0</x:v>
      </x:c>
      <x:c r="Q20" s="19" t="n">
        <x:v>0</x:v>
      </x:c>
      <x:c r="R20" s="24"/>
      <x:c r="S20" s="24"/>
      <x:c r="T20" s="24"/>
      <x:c r="U20" s="24"/>
      <x:c r="V20" s="24"/>
      <x:c r="W20" s="23"/>
      <x:c r="X20" s="19" t="n">
        <x:v>0</x:v>
      </x:c>
      <x:c r="Y20" s="20"/>
      <x:c r="Z20" s="20" t="str">
        <x:v>FIXED_CATALOG_ALIAS; remote weight/version immutability UNKNOWN</x:v>
      </x:c>
      <x:c r="AA20" s="21" t="str">
        <x:v>Content-safety classifier is not a general agricultural answer generator</x:v>
      </x:c>
      <x:c r="AB20" s="20" t="str">
        <x:v>results/20261002_183639Z_openrouter_zero_diagnostic/current_21_model_matrix.json</x:v>
      </x:c>
      <x:c r="AC20" s="20" t="str">
        <x:v>8d55fb8a347b7bac8a6974b076e0940ebfdeb18cc2ca41328dcf66b5fcb11251</x:v>
      </x:c>
    </x:row>
    <x:row r="21" ht="62" customHeight="1">
      <x:c r="A21" s="21" t="str">
        <x:v>NVIDIA: Nemotron 3 Ultra (free)</x:v>
      </x:c>
      <x:c r="B21" s="21" t="str">
        <x:v>nvidia/nemotron-3-ultra-550b-a55b:free</x:v>
      </x:c>
      <x:c r="C21" s="21" t="str">
        <x:v>NOT_RUN</x:v>
      </x:c>
      <x:c r="D21" s="21" t="str">
        <x:v>GENERAL_TEXT_DEV</x:v>
      </x:c>
      <x:c r="E21" s="21" t="str">
        <x:v>METADATA_ONLY</x:v>
      </x:c>
      <x:c r="F21" s="19" t="n">
        <x:v>0</x:v>
      </x:c>
      <x:c r="G21" s="19" t="n">
        <x:v>0</x:v>
      </x:c>
      <x:c r="H21" s="19"/>
      <x:c r="I21" s="22"/>
      <x:c r="J21" s="19" t="n">
        <x:v>0</x:v>
      </x:c>
      <x:c r="K21" s="19"/>
      <x:c r="L21" s="19"/>
      <x:c r="M21" s="19"/>
      <x:c r="N21" s="19"/>
      <x:c r="O21" s="19" t="n">
        <x:v>0</x:v>
      </x:c>
      <x:c r="P21" s="19" t="n">
        <x:v>0</x:v>
      </x:c>
      <x:c r="Q21" s="19" t="n">
        <x:v>0</x:v>
      </x:c>
      <x:c r="R21" s="24"/>
      <x:c r="S21" s="24"/>
      <x:c r="T21" s="24"/>
      <x:c r="U21" s="24"/>
      <x:c r="V21" s="24"/>
      <x:c r="W21" s="23"/>
      <x:c r="X21" s="19" t="n">
        <x:v>0</x:v>
      </x:c>
      <x:c r="Y21" s="20" t="str">
        <x:v>nvidia</x:v>
      </x:c>
      <x:c r="Z21" s="20" t="str">
        <x:v>FIXED_CATALOG_ALIAS; remote weight/version immutability UNKNOWN</x:v>
      </x:c>
      <x:c r="AA21" s="21" t="str">
        <x:v>No completion attempted for this candidate; shared access/privacy prerequisite blocked the screen. Own compatibility UNKNOWN.</x:v>
      </x:c>
      <x:c r="AB21" s="20" t="str">
        <x:v>results/20261002_183639Z_openrouter_zero_diagnostic/current_21_model_matrix.json</x:v>
      </x:c>
      <x:c r="AC21" s="20" t="str">
        <x:v>8d55fb8a347b7bac8a6974b076e0940ebfdeb18cc2ca41328dcf66b5fcb11251</x:v>
      </x:c>
    </x:row>
    <x:row r="22" ht="62" customHeight="1">
      <x:c r="A22" s="21" t="str">
        <x:v>NVIDIA: Nemotron 3 Nano Omni (free)</x:v>
      </x:c>
      <x:c r="B22" s="21" t="str">
        <x:v>nvidia/nemotron-3-nano-omni-30b-a3b-reasoning:free</x:v>
      </x:c>
      <x:c r="C22" s="21" t="str">
        <x:v>NOT_RUN</x:v>
      </x:c>
      <x:c r="D22" s="21" t="str">
        <x:v>GENERAL_TEXT_DEV</x:v>
      </x:c>
      <x:c r="E22" s="21" t="str">
        <x:v>METADATA_ONLY</x:v>
      </x:c>
      <x:c r="F22" s="19" t="n">
        <x:v>0</x:v>
      </x:c>
      <x:c r="G22" s="19" t="n">
        <x:v>0</x:v>
      </x:c>
      <x:c r="H22" s="19"/>
      <x:c r="I22" s="22"/>
      <x:c r="J22" s="19" t="n">
        <x:v>0</x:v>
      </x:c>
      <x:c r="K22" s="19"/>
      <x:c r="L22" s="19"/>
      <x:c r="M22" s="19"/>
      <x:c r="N22" s="19"/>
      <x:c r="O22" s="19" t="n">
        <x:v>0</x:v>
      </x:c>
      <x:c r="P22" s="19" t="n">
        <x:v>0</x:v>
      </x:c>
      <x:c r="Q22" s="19" t="n">
        <x:v>0</x:v>
      </x:c>
      <x:c r="R22" s="24"/>
      <x:c r="S22" s="24"/>
      <x:c r="T22" s="24"/>
      <x:c r="U22" s="24"/>
      <x:c r="V22" s="24"/>
      <x:c r="W22" s="23"/>
      <x:c r="X22" s="19" t="n">
        <x:v>0</x:v>
      </x:c>
      <x:c r="Y22" s="20" t="str">
        <x:v>nvidia</x:v>
      </x:c>
      <x:c r="Z22" s="20" t="str">
        <x:v>FIXED_CATALOG_ALIAS; remote weight/version immutability UNKNOWN</x:v>
      </x:c>
      <x:c r="AA22" s="21" t="str">
        <x:v>No completion attempted for this candidate; shared access/privacy prerequisite blocked the screen. Own compatibility UNKNOWN.</x:v>
      </x:c>
      <x:c r="AB22" s="20" t="str">
        <x:v>results/20261002_183639Z_openrouter_zero_diagnostic/current_21_model_matrix.json</x:v>
      </x:c>
      <x:c r="AC22" s="20" t="str">
        <x:v>8d55fb8a347b7bac8a6974b076e0940ebfdeb18cc2ca41328dcf66b5fcb11251</x:v>
      </x:c>
    </x:row>
    <x:row r="23" ht="62" customHeight="1">
      <x:c r="A23" s="21" t="str">
        <x:v>Google: Gemma 4 26B A4B (free)</x:v>
      </x:c>
      <x:c r="B23" s="21" t="str">
        <x:v>google/gemma-4-26b-a4b-it:free</x:v>
      </x:c>
      <x:c r="C23" s="21" t="str">
        <x:v>NOT_RUN</x:v>
      </x:c>
      <x:c r="D23" s="21" t="str">
        <x:v>GENERAL_TEXT_DEV</x:v>
      </x:c>
      <x:c r="E23" s="21" t="str">
        <x:v>METADATA_ONLY</x:v>
      </x:c>
      <x:c r="F23" s="19" t="n">
        <x:v>0</x:v>
      </x:c>
      <x:c r="G23" s="19" t="n">
        <x:v>0</x:v>
      </x:c>
      <x:c r="H23" s="19"/>
      <x:c r="I23" s="22"/>
      <x:c r="J23" s="19" t="n">
        <x:v>0</x:v>
      </x:c>
      <x:c r="K23" s="19"/>
      <x:c r="L23" s="19"/>
      <x:c r="M23" s="19"/>
      <x:c r="N23" s="19"/>
      <x:c r="O23" s="19" t="n">
        <x:v>0</x:v>
      </x:c>
      <x:c r="P23" s="19" t="n">
        <x:v>0</x:v>
      </x:c>
      <x:c r="Q23" s="19" t="n">
        <x:v>0</x:v>
      </x:c>
      <x:c r="R23" s="24"/>
      <x:c r="S23" s="24"/>
      <x:c r="T23" s="24"/>
      <x:c r="U23" s="24"/>
      <x:c r="V23" s="24"/>
      <x:c r="W23" s="23"/>
      <x:c r="X23" s="19" t="n">
        <x:v>0</x:v>
      </x:c>
      <x:c r="Y23" s="20" t="str">
        <x:v>google-ai-studio</x:v>
      </x:c>
      <x:c r="Z23" s="20" t="str">
        <x:v>FIXED_CATALOG_ALIAS; remote weight/version immutability UNKNOWN</x:v>
      </x:c>
      <x:c r="AA23" s="21" t="str">
        <x:v>No completion attempted for this candidate; shared access/privacy prerequisite blocked the screen. Own compatibility UNKNOWN.</x:v>
      </x:c>
      <x:c r="AB23" s="20" t="str">
        <x:v>results/20261002_183639Z_openrouter_zero_diagnostic/current_21_model_matrix.json</x:v>
      </x:c>
      <x:c r="AC23" s="20" t="str">
        <x:v>8d55fb8a347b7bac8a6974b076e0940ebfdeb18cc2ca41328dcf66b5fcb11251</x:v>
      </x:c>
    </x:row>
    <x:row r="24" ht="62" customHeight="1">
      <x:c r="A24" s="21" t="str">
        <x:v>Google: Gemma 4 31B (free)</x:v>
      </x:c>
      <x:c r="B24" s="21" t="str">
        <x:v>google/gemma-4-31b-it:free</x:v>
      </x:c>
      <x:c r="C24" s="21" t="str">
        <x:v>NOT_RUN</x:v>
      </x:c>
      <x:c r="D24" s="21" t="str">
        <x:v>GENERAL_TEXT_DEV</x:v>
      </x:c>
      <x:c r="E24" s="21" t="str">
        <x:v>METADATA_ONLY</x:v>
      </x:c>
      <x:c r="F24" s="19" t="n">
        <x:v>0</x:v>
      </x:c>
      <x:c r="G24" s="19" t="n">
        <x:v>0</x:v>
      </x:c>
      <x:c r="H24" s="19"/>
      <x:c r="I24" s="22"/>
      <x:c r="J24" s="19" t="n">
        <x:v>0</x:v>
      </x:c>
      <x:c r="K24" s="19"/>
      <x:c r="L24" s="19"/>
      <x:c r="M24" s="19"/>
      <x:c r="N24" s="19"/>
      <x:c r="O24" s="19" t="n">
        <x:v>0</x:v>
      </x:c>
      <x:c r="P24" s="19" t="n">
        <x:v>0</x:v>
      </x:c>
      <x:c r="Q24" s="19" t="n">
        <x:v>0</x:v>
      </x:c>
      <x:c r="R24" s="24"/>
      <x:c r="S24" s="24"/>
      <x:c r="T24" s="24"/>
      <x:c r="U24" s="24"/>
      <x:c r="V24" s="24"/>
      <x:c r="W24" s="23"/>
      <x:c r="X24" s="19" t="n">
        <x:v>0</x:v>
      </x:c>
      <x:c r="Y24" s="20" t="str">
        <x:v>google-ai-studio</x:v>
      </x:c>
      <x:c r="Z24" s="20" t="str">
        <x:v>FIXED_CATALOG_ALIAS; remote weight/version immutability UNKNOWN</x:v>
      </x:c>
      <x:c r="AA24" s="21" t="str">
        <x:v>No completion attempted for this candidate; shared access/privacy prerequisite blocked the screen. Own compatibility UNKNOWN.</x:v>
      </x:c>
      <x:c r="AB24" s="20" t="str">
        <x:v>results/20261002_183639Z_openrouter_zero_diagnostic/current_21_model_matrix.json</x:v>
      </x:c>
      <x:c r="AC24" s="20" t="str">
        <x:v>8d55fb8a347b7bac8a6974b076e0940ebfdeb18cc2ca41328dcf66b5fcb11251</x:v>
      </x:c>
    </x:row>
    <x:row r="25" ht="62" customHeight="1">
      <x:c r="A25" s="21" t="str">
        <x:v>Google: Lyria 3 Pro Preview</x:v>
      </x:c>
      <x:c r="B25" s="21" t="str">
        <x:v>google/lyria-3-pro-preview</x:v>
      </x:c>
      <x:c r="C25" s="21" t="str">
        <x:v>PAID_NOT_AUTHORIZED</x:v>
      </x:c>
      <x:c r="D25" s="21"/>
      <x:c r="E25" s="21" t="str">
        <x:v>METADATA_ONLY</x:v>
      </x:c>
      <x:c r="F25" s="19" t="n">
        <x:v>0</x:v>
      </x:c>
      <x:c r="G25" s="19" t="n">
        <x:v>0</x:v>
      </x:c>
      <x:c r="H25" s="19"/>
      <x:c r="I25" s="22"/>
      <x:c r="J25" s="19" t="n">
        <x:v>0</x:v>
      </x:c>
      <x:c r="K25" s="19"/>
      <x:c r="L25" s="19"/>
      <x:c r="M25" s="19"/>
      <x:c r="N25" s="19"/>
      <x:c r="O25" s="19" t="n">
        <x:v>0</x:v>
      </x:c>
      <x:c r="P25" s="19" t="n">
        <x:v>0</x:v>
      </x:c>
      <x:c r="Q25" s="19" t="n">
        <x:v>0</x:v>
      </x:c>
      <x:c r="R25" s="24"/>
      <x:c r="S25" s="24"/>
      <x:c r="T25" s="24"/>
      <x:c r="U25" s="24"/>
      <x:c r="V25" s="24"/>
      <x:c r="W25" s="23"/>
      <x:c r="X25" s="19" t="n">
        <x:v>0</x:v>
      </x:c>
      <x:c r="Y25" s="20"/>
      <x:c r="Z25" s="20" t="str">
        <x:v>EXPLORATORY_PREVIEW</x:v>
      </x:c>
      <x:c r="AA25" s="21" t="str">
        <x:v>Description discloses an ancillary media/item charge despite zero token fields; $0 cap blocks request</x:v>
      </x:c>
      <x:c r="AB25" s="20" t="str">
        <x:v>results/20261002_183639Z_openrouter_zero_diagnostic/current_21_model_matrix.json</x:v>
      </x:c>
      <x:c r="AC25" s="20" t="str">
        <x:v>8d55fb8a347b7bac8a6974b076e0940ebfdeb18cc2ca41328dcf66b5fcb11251</x:v>
      </x:c>
    </x:row>
    <x:row r="26" ht="62" customHeight="1">
      <x:c r="A26" s="21" t="str">
        <x:v>Google: Lyria 3 Clip Preview</x:v>
      </x:c>
      <x:c r="B26" s="21" t="str">
        <x:v>google/lyria-3-clip-preview</x:v>
      </x:c>
      <x:c r="C26" s="21" t="str">
        <x:v>PAID_NOT_AUTHORIZED</x:v>
      </x:c>
      <x:c r="D26" s="21"/>
      <x:c r="E26" s="21" t="str">
        <x:v>METADATA_ONLY</x:v>
      </x:c>
      <x:c r="F26" s="19" t="n">
        <x:v>0</x:v>
      </x:c>
      <x:c r="G26" s="19" t="n">
        <x:v>0</x:v>
      </x:c>
      <x:c r="H26" s="19"/>
      <x:c r="I26" s="22"/>
      <x:c r="J26" s="19" t="n">
        <x:v>0</x:v>
      </x:c>
      <x:c r="K26" s="19"/>
      <x:c r="L26" s="19"/>
      <x:c r="M26" s="19"/>
      <x:c r="N26" s="19"/>
      <x:c r="O26" s="19" t="n">
        <x:v>0</x:v>
      </x:c>
      <x:c r="P26" s="19" t="n">
        <x:v>0</x:v>
      </x:c>
      <x:c r="Q26" s="19" t="n">
        <x:v>0</x:v>
      </x:c>
      <x:c r="R26" s="24"/>
      <x:c r="S26" s="24"/>
      <x:c r="T26" s="24"/>
      <x:c r="U26" s="24"/>
      <x:c r="V26" s="24"/>
      <x:c r="W26" s="23"/>
      <x:c r="X26" s="19" t="n">
        <x:v>0</x:v>
      </x:c>
      <x:c r="Y26" s="20"/>
      <x:c r="Z26" s="20" t="str">
        <x:v>EXPLORATORY_PREVIEW</x:v>
      </x:c>
      <x:c r="AA26" s="21" t="str">
        <x:v>Description discloses an ancillary media/item charge despite zero token fields; $0 cap blocks request</x:v>
      </x:c>
      <x:c r="AB26" s="20" t="str">
        <x:v>results/20261002_183639Z_openrouter_zero_diagnostic/current_21_model_matrix.json</x:v>
      </x:c>
      <x:c r="AC26" s="20" t="str">
        <x:v>8d55fb8a347b7bac8a6974b076e0940ebfdeb18cc2ca41328dcf66b5fcb11251</x:v>
      </x:c>
    </x:row>
    <x:row r="27" ht="62" customHeight="1">
      <x:c r="A27" s="21" t="str">
        <x:v>NVIDIA: Nemotron 3 Super (free)</x:v>
      </x:c>
      <x:c r="B27" s="21" t="str">
        <x:v>nvidia/nemotron-3-super-120b-a12b:free</x:v>
      </x:c>
      <x:c r="C27" s="21" t="str">
        <x:v>NOT_RUN</x:v>
      </x:c>
      <x:c r="D27" s="21" t="str">
        <x:v>GENERAL_TEXT_DEV</x:v>
      </x:c>
      <x:c r="E27" s="21" t="str">
        <x:v>METADATA_ONLY</x:v>
      </x:c>
      <x:c r="F27" s="19" t="n">
        <x:v>0</x:v>
      </x:c>
      <x:c r="G27" s="19" t="n">
        <x:v>0</x:v>
      </x:c>
      <x:c r="H27" s="19"/>
      <x:c r="I27" s="22"/>
      <x:c r="J27" s="19" t="n">
        <x:v>0</x:v>
      </x:c>
      <x:c r="K27" s="19"/>
      <x:c r="L27" s="19"/>
      <x:c r="M27" s="19"/>
      <x:c r="N27" s="19"/>
      <x:c r="O27" s="19" t="n">
        <x:v>0</x:v>
      </x:c>
      <x:c r="P27" s="19" t="n">
        <x:v>0</x:v>
      </x:c>
      <x:c r="Q27" s="19" t="n">
        <x:v>0</x:v>
      </x:c>
      <x:c r="R27" s="24"/>
      <x:c r="S27" s="24"/>
      <x:c r="T27" s="24"/>
      <x:c r="U27" s="24"/>
      <x:c r="V27" s="24"/>
      <x:c r="W27" s="23"/>
      <x:c r="X27" s="19" t="n">
        <x:v>0</x:v>
      </x:c>
      <x:c r="Y27" s="20" t="str">
        <x:v>nvidia</x:v>
      </x:c>
      <x:c r="Z27" s="20" t="str">
        <x:v>FIXED_CATALOG_ALIAS; remote weight/version immutability UNKNOWN</x:v>
      </x:c>
      <x:c r="AA27" s="21" t="str">
        <x:v>No completion attempted for this candidate; shared access/privacy prerequisite blocked the screen. Own compatibility UNKNOWN.</x:v>
      </x:c>
      <x:c r="AB27" s="20" t="str">
        <x:v>results/20261002_183639Z_openrouter_zero_diagnostic/current_21_model_matrix.json</x:v>
      </x:c>
      <x:c r="AC27" s="20" t="str">
        <x:v>8d55fb8a347b7bac8a6974b076e0940ebfdeb18cc2ca41328dcf66b5fcb11251</x:v>
      </x:c>
    </x:row>
  </x:sheetData>
  <x:conditionalFormatting sqref="C7:C27">
    <x:cfRule type="containsText" dxfId="12" priority="1" operator="containsText" text="BLOCKED"/>
    <x:cfRule type="containsText" dxfId="13" priority="2" operator="containsText" text="NOT_RUN"/>
    <x:cfRule type="containsText" dxfId="14" priority="3" operator="containsText" text="NOT RUN"/>
    <x:cfRule type="containsText" dxfId="15" priority="4" operator="containsText" text="RATE_LIMITED"/>
    <x:cfRule type="containsText" dxfId="16" priority="5" operator="containsText" text="PARTIAL"/>
    <x:cfRule type="containsText" dxfId="17" priority="6" operator="containsText" text="PAID_NOT_AUTHORIZED"/>
  </x:conditionalFormatting>
  <x:pageMargins left="0.7" right="0.7" top="0.75" bottom="0.75" header="0.3" footer="0.3"/>
  <x:tableParts count="1">
    <x:tablePart xmlns:r="http://schemas.openxmlformats.org/officeDocument/2006/relationships" r:id="R4b170628ad0b48b1"/>
  </x:tableParts>
</x:worksheet>
</file>

<file path=xl/worksheets/sheet4.xml><?xml version="1.0" encoding="utf-8"?>
<x:worksheet xmlns:x="http://schemas.openxmlformats.org/spreadsheetml/2006/main">
  <x:sheetPr>
    <x:tabColor rgb="FF768DA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6" hidden="0" customWidth="1"/>
    <x:col min="2" max="2" width="25" hidden="0" customWidth="1"/>
    <x:col min="3" max="3" width="16" hidden="0" customWidth="1"/>
    <x:col min="4" max="4" width="25" hidden="0" customWidth="1"/>
    <x:col min="5" max="5" width="8" hidden="0" customWidth="1"/>
    <x:col min="6" max="6" width="10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  <x:col min="13" max="13" width="15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7" hidden="0" customWidth="1"/>
    <x:col min="24" max="24" width="16" hidden="0" customWidth="1"/>
    <x:col min="25" max="25" width="17" hidden="0" customWidth="1"/>
    <x:col min="26" max="26" width="18" hidden="0" customWidth="1"/>
    <x:col min="27" max="27" width="18" hidden="0" customWidth="1"/>
    <x:col min="28" max="28" width="17" hidden="0" customWidth="1"/>
    <x:col min="29" max="29" width="12" hidden="0" customWidth="1"/>
    <x:col min="30" max="30" width="11" hidden="0" customWidth="1"/>
    <x:col min="31" max="31" width="15" hidden="0" customWidth="1"/>
    <x:col min="32" max="32" width="12" hidden="0" customWidth="1"/>
    <x:col min="33" max="33" width="10" hidden="0" customWidth="1"/>
    <x:col min="34" max="34" width="13" hidden="0" customWidth="1"/>
    <x:col min="35" max="35" width="20" hidden="0" customWidth="1"/>
    <x:col min="36" max="36" width="43" hidden="0" customWidth="1"/>
    <x:col min="37" max="37" width="86" hidden="0" customWidth="1"/>
    <x:col min="38" max="38" width="7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 ht="26" customHeight="1">
      <x:c r="A2" s="4" t="str">
        <x:v>Все 45 исторических серий, 1–2 октября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</x:row>
    <x:row r="3" ht="26" customHeight="1">
      <x:c r="A3" s="6" t="str">
        <x:v>CLI/API/reasoningprofiles and different DEV selections remain separate; partial coverage is visible.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</x:row>
    <x:row r="6" ht="64" customHeight="1">
      <x:c r="A6" s="15" t="str">
        <x:v>Модель</x:v>
      </x:c>
      <x:c r="B6" s="16" t="str">
        <x:v>Серия</x:v>
      </x:c>
      <x:c r="C6" s="16" t="str">
        <x:v>Выборка</x:v>
      </x:c>
      <x:c r="D6" s="16" t="str">
        <x:v>Статус</x:v>
      </x:c>
      <x:c r="E6" s="16" t="str">
        <x:v>N</x:v>
      </x:c>
      <x:c r="F6" s="16" t="str">
        <x:v>Верно</x:v>
      </x:c>
      <x:c r="G6" s="16" t="str">
        <x:v>Качество</x:v>
      </x:c>
      <x:c r="H6" s="16" t="str">
        <x:v>Ошибки</x:v>
      </x:c>
      <x:c r="I6" s="16" t="str">
        <x:v>Input известно</x:v>
      </x:c>
      <x:c r="J6" s="16" t="str">
        <x:v>Output известно</x:v>
      </x:c>
      <x:c r="K6" s="16" t="str">
        <x:v>Reasoning известно</x:v>
      </x:c>
      <x:c r="L6" s="16" t="str">
        <x:v>Input coverage N</x:v>
      </x:c>
      <x:c r="M6" s="16" t="str">
        <x:v>Output coverage N</x:v>
      </x:c>
      <x:c r="N6" s="16" t="str">
        <x:v>Reasoning coverage N</x:v>
      </x:c>
      <x:c r="O6" s="16" t="str">
        <x:v>Среднее, с</x:v>
      </x:c>
      <x:c r="P6" s="16" t="str">
        <x:v>p50, с</x:v>
      </x:c>
      <x:c r="Q6" s="16" t="str">
        <x:v>p95, с</x:v>
      </x:c>
      <x:c r="R6" s="16" t="str">
        <x:v>Client delta p50, с</x:v>
      </x:c>
      <x:c r="S6" s="16" t="str">
        <x:v>Client answer p50, с</x:v>
      </x:c>
      <x:c r="T6" s="16" t="str">
        <x:v>Client approx tok/s</x:v>
      </x:c>
      <x:c r="U6" s="16" t="str">
        <x:v>Native TTFT p50, с</x:v>
      </x:c>
      <x:c r="V6" s="16" t="str">
        <x:v>Native decode tok/s</x:v>
      </x:c>
      <x:c r="W6" s="16" t="str">
        <x:v>VRAM весь GPU MiB</x:v>
      </x:c>
      <x:c r="X6" s="16" t="str">
        <x:v>RAM весь ПК GiB</x:v>
      </x:c>
      <x:c r="Y6" s="16" t="str">
        <x:v>Каталог files GiB</x:v>
      </x:c>
      <x:c r="Z6" s="16" t="str">
        <x:v>Квантование</x:v>
      </x:c>
      <x:c r="AA6" s="16" t="str">
        <x:v>Offload requested</x:v>
      </x:c>
      <x:c r="AB6" s="16" t="str">
        <x:v>Actual GPU layers</x:v>
      </x:c>
      <x:c r="AC6" s="16" t="str">
        <x:v>Контекст</x:v>
      </x:c>
      <x:c r="AD6" s="16" t="str">
        <x:v>Parallel</x:v>
      </x:c>
      <x:c r="AE6" s="16" t="str">
        <x:v>Temperature requested</x:v>
      </x:c>
      <x:c r="AF6" s="16" t="str">
        <x:v>Max tokens</x:v>
      </x:c>
      <x:c r="AG6" s="16" t="str">
        <x:v>Seed</x:v>
      </x:c>
      <x:c r="AH6" s="16" t="str">
        <x:v>Cold load, с</x:v>
      </x:c>
      <x:c r="AI6" s="16" t="str">
        <x:v>Reasoning профиль</x:v>
      </x:c>
      <x:c r="AJ6" s="16" t="str">
        <x:v>Run ID</x:v>
      </x:c>
      <x:c r="AK6" s="16" t="str">
        <x:v>Источник</x:v>
      </x:c>
      <x:c r="AL6" s="17" t="str">
        <x:v>SHA256 источника</x:v>
      </x:c>
    </x:row>
    <x:row r="7" ht="26" customHeight="1">
      <x:c r="A7" s="20" t="str">
        <x:v>gemma-4-26b-a4b-it</x:v>
      </x:c>
      <x:c r="B7" s="20" t="str">
        <x:v>LM Studio API DEV</x:v>
      </x:c>
      <x:c r="C7" s="20" t="str">
        <x:v>old_dev</x:v>
      </x:c>
      <x:c r="D7" s="20" t="str">
        <x:v>EARLY_STOP</x:v>
      </x:c>
      <x:c r="E7" s="19" t="n">
        <x:v>6</x:v>
      </x:c>
      <x:c r="F7" s="19" t="n">
        <x:v>2</x:v>
      </x:c>
      <x:c r="G7" s="22" t="n">
        <x:f>IF(E7=0,"",IF(ISNUMBER(F7),F7/E7,""))</x:f>
        <x:v>0.3333333333333333</x:v>
      </x:c>
      <x:c r="H7" s="19" t="n">
        <x:v>4</x:v>
      </x:c>
      <x:c r="I7" s="19" t="n">
        <x:v>2903</x:v>
      </x:c>
      <x:c r="J7" s="19" t="n">
        <x:v>2539</x:v>
      </x:c>
      <x:c r="K7" s="19" t="n">
        <x:v>2452</x:v>
      </x:c>
      <x:c r="L7" s="19" t="n">
        <x:v>6</x:v>
      </x:c>
      <x:c r="M7" s="19" t="n">
        <x:v>6</x:v>
      </x:c>
      <x:c r="N7" s="19" t="n">
        <x:v>6</x:v>
      </x:c>
      <x:c r="O7" s="24" t="n">
        <x:v>13.889182616666707</x:v>
      </x:c>
      <x:c r="P7" s="24" t="n">
        <x:v>16.248230399999557</x:v>
      </x:c>
      <x:c r="Q7" s="24" t="n">
        <x:v>17.22884639999984</x:v>
      </x:c>
      <x:c r="R7" s="24" t="n">
        <x:v>0.742146849999699</x:v>
      </x:c>
      <x:c r="S7" s="24"/>
      <x:c r="T7" s="25" t="n">
        <x:v>32.74981260176135</x:v>
      </x:c>
      <x:c r="U7" s="24"/>
      <x:c r="V7" s="25" t="n">
        <x:v>32.35</x:v>
      </x:c>
      <x:c r="W7" s="19" t="n">
        <x:v>14019</x:v>
      </x:c>
      <x:c r="X7" s="25" t="n">
        <x:v>27.274593353271484</x:v>
      </x:c>
      <x:c r="Y7" s="25" t="n">
        <x:v>15.690822293050587</x:v>
      </x:c>
      <x:c r="Z7" s="20" t="str">
        <x:v>IQ4_NL_XL</x:v>
      </x:c>
      <x:c r="AA7" s="20" t="str">
        <x:v>0.70</x:v>
      </x:c>
      <x:c r="AB7" s="20"/>
      <x:c r="AC7" s="19" t="n">
        <x:v>4096</x:v>
      </x:c>
      <x:c r="AD7" s="19" t="n">
        <x:v>1</x:v>
      </x:c>
      <x:c r="AE7" s="19" t="n">
        <x:v>0</x:v>
      </x:c>
      <x:c r="AF7" s="19" t="n">
        <x:v>512</x:v>
      </x:c>
      <x:c r="AG7" s="19" t="n">
        <x:v>42</x:v>
      </x:c>
      <x:c r="AH7" s="24" t="n">
        <x:v>29.57046199999968</x:v>
      </x:c>
      <x:c r="AI7" s="20"/>
      <x:c r="AJ7" s="20" t="str">
        <x:v>20261001T194301Z_47eaacd5_lm_api</x:v>
      </x:c>
      <x:c r="AK7" s="20" t="str">
        <x:v>results/20261001T194301Z_47eaacd5_lm_api/gemma-4-26b-a4b-it_raw.jsonl</x:v>
      </x:c>
      <x:c r="AL7" s="20" t="str">
        <x:v>376a15709f95e633ceffa172f2378ea54269814e586ea8cf0f8671d35a5f3224</x:v>
      </x:c>
    </x:row>
    <x:row r="8" ht="26" customHeight="1">
      <x:c r="A8" s="20" t="str">
        <x:v>gemma-4-26b-a4b-it</x:v>
      </x:c>
      <x:c r="B8" s="20" t="str">
        <x:v>LM Studio API DEV</x:v>
      </x:c>
      <x:c r="C8" s="20" t="str">
        <x:v>old_dev</x:v>
      </x:c>
      <x:c r="D8" s="20" t="str">
        <x:v>measured</x:v>
      </x:c>
      <x:c r="E8" s="19" t="n">
        <x:v>12</x:v>
      </x:c>
      <x:c r="F8" s="19" t="n">
        <x:v>9</x:v>
      </x:c>
      <x:c r="G8" s="22" t="n">
        <x:f>IF(E8=0,"",IF(ISNUMBER(F8),F8/E8,""))</x:f>
        <x:v>0.75</x:v>
      </x:c>
      <x:c r="H8" s="19" t="n">
        <x:v>0</x:v>
      </x:c>
      <x:c r="I8" s="19" t="n">
        <x:v>5764</x:v>
      </x:c>
      <x:c r="J8" s="19" t="n">
        <x:v>408</x:v>
      </x:c>
      <x:c r="K8" s="19" t="n">
        <x:v>0</x:v>
      </x:c>
      <x:c r="L8" s="19" t="n">
        <x:v>12</x:v>
      </x:c>
      <x:c r="M8" s="19" t="n">
        <x:v>12</x:v>
      </x:c>
      <x:c r="N8" s="19" t="n">
        <x:v>12</x:v>
      </x:c>
      <x:c r="O8" s="24" t="n">
        <x:v>1.542104408333368</x:v>
      </x:c>
      <x:c r="P8" s="24" t="n">
        <x:v>1.4666219999999157</x:v>
      </x:c>
      <x:c r="Q8" s="24" t="n">
        <x:v>1.9269057800007425</x:v>
      </x:c>
      <x:c r="R8" s="24" t="n">
        <x:v>0.6255107500001031</x:v>
      </x:c>
      <x:c r="S8" s="24"/>
      <x:c r="T8" s="25" t="n">
        <x:v>44.767260146051484</x:v>
      </x:c>
      <x:c r="U8" s="24"/>
      <x:c r="V8" s="25" t="n">
        <x:v>34.620000000000005</x:v>
      </x:c>
      <x:c r="W8" s="19" t="n">
        <x:v>14022</x:v>
      </x:c>
      <x:c r="X8" s="25" t="n">
        <x:v>26.853214263916016</x:v>
      </x:c>
      <x:c r="Y8" s="25" t="n">
        <x:v>15.690822293050587</x:v>
      </x:c>
      <x:c r="Z8" s="20" t="str">
        <x:v>IQ4_NL_XL</x:v>
      </x:c>
      <x:c r="AA8" s="20" t="str">
        <x:v>0.70</x:v>
      </x:c>
      <x:c r="AB8" s="20"/>
      <x:c r="AC8" s="19" t="n">
        <x:v>4096</x:v>
      </x:c>
      <x:c r="AD8" s="19" t="n">
        <x:v>1</x:v>
      </x:c>
      <x:c r="AE8" s="19" t="n">
        <x:v>0</x:v>
      </x:c>
      <x:c r="AF8" s="19" t="n">
        <x:v>512</x:v>
      </x:c>
      <x:c r="AG8" s="19" t="n">
        <x:v>42</x:v>
      </x:c>
      <x:c r="AH8" s="24" t="n">
        <x:v>10.967643500000122</x:v>
      </x:c>
      <x:c r="AI8" s="20" t="str">
        <x:v>off-or-low</x:v>
      </x:c>
      <x:c r="AJ8" s="20" t="str">
        <x:v>20261001T194606Z_8e662ec9_lm_api</x:v>
      </x:c>
      <x:c r="AK8" s="20" t="str">
        <x:v>results/20261001T194606Z_8e662ec9_lm_api/gemma-4-26b-a4b-it_raw.jsonl</x:v>
      </x:c>
      <x:c r="AL8" s="20" t="str">
        <x:v>81c82743a8c87979c5958e3e2d5eee413b1611f9b1b84d9339bbe745bf346ac8</x:v>
      </x:c>
    </x:row>
    <x:row r="9" ht="26" customHeight="1">
      <x:c r="A9" s="20" t="str">
        <x:v>qwen3.8-27b</x:v>
      </x:c>
      <x:c r="B9" s="20" t="str">
        <x:v>LM Studio API DEV</x:v>
      </x:c>
      <x:c r="C9" s="20" t="str">
        <x:v>old_dev</x:v>
      </x:c>
      <x:c r="D9" s="20" t="str">
        <x:v>measured</x:v>
      </x:c>
      <x:c r="E9" s="19" t="n">
        <x:v>36</x:v>
      </x:c>
      <x:c r="F9" s="19" t="n">
        <x:v>25</x:v>
      </x:c>
      <x:c r="G9" s="22" t="n">
        <x:f>IF(E9=0,"",IF(ISNUMBER(F9),F9/E9,""))</x:f>
        <x:v>0.6944444444444444</x:v>
      </x:c>
      <x:c r="H9" s="19" t="n">
        <x:v>0</x:v>
      </x:c>
      <x:c r="I9" s="19" t="n">
        <x:v>16486</x:v>
      </x:c>
      <x:c r="J9" s="19" t="n">
        <x:v>1109</x:v>
      </x:c>
      <x:c r="K9" s="19" t="n">
        <x:v>0</x:v>
      </x:c>
      <x:c r="L9" s="19" t="n">
        <x:v>36</x:v>
      </x:c>
      <x:c r="M9" s="19" t="n">
        <x:v>36</x:v>
      </x:c>
      <x:c r="N9" s="19" t="n">
        <x:v>36</x:v>
      </x:c>
      <x:c r="O9" s="24" t="n">
        <x:v>3.1861106138890642</x:v>
      </x:c>
      <x:c r="P9" s="24" t="n">
        <x:v>3.0302098000001934</x:v>
      </x:c>
      <x:c r="Q9" s="24" t="n">
        <x:v>4.24372884999957</x:v>
      </x:c>
      <x:c r="R9" s="24" t="n">
        <x:v>0.8341464000004635</x:v>
      </x:c>
      <x:c r="S9" s="24" t="n">
        <x:v>0.8341464000004635</x:v>
      </x:c>
      <x:c r="T9" s="25" t="n">
        <x:v>14.35792864623695</x:v>
      </x:c>
      <x:c r="U9" s="24"/>
      <x:c r="V9" s="25" t="n">
        <x:v>13.545</x:v>
      </x:c>
      <x:c r="W9" s="19" t="n">
        <x:v>15189</x:v>
      </x:c>
      <x:c r="X9" s="25" t="n">
        <x:v>27.800556182861328</x:v>
      </x:c>
      <x:c r="Y9" s="25" t="n">
        <x:v>16.197610154747963</x:v>
      </x:c>
      <x:c r="Z9" s="20" t="str">
        <x:v>Q4_K_M</x:v>
      </x:c>
      <x:c r="AA9" s="20" t="str">
        <x:v>0.75</x:v>
      </x:c>
      <x:c r="AB9" s="20"/>
      <x:c r="AC9" s="19" t="n">
        <x:v>4096</x:v>
      </x:c>
      <x:c r="AD9" s="19" t="n">
        <x:v>1</x:v>
      </x:c>
      <x:c r="AE9" s="19" t="n">
        <x:v>0</x:v>
      </x:c>
      <x:c r="AF9" s="19" t="n">
        <x:v>512</x:v>
      </x:c>
      <x:c r="AG9" s="19" t="n">
        <x:v>42</x:v>
      </x:c>
      <x:c r="AH9" s="24" t="n">
        <x:v>23.97627620000094</x:v>
      </x:c>
      <x:c r="AI9" s="20" t="str">
        <x:v>off-or-low</x:v>
      </x:c>
      <x:c r="AJ9" s="20" t="str">
        <x:v>20261001T194807Z_f5edc9b3_lm_api</x:v>
      </x:c>
      <x:c r="AK9" s="20" t="str">
        <x:v>results/20261001T194807Z_f5edc9b3_lm_api/qwen3.8-27b_raw.jsonl</x:v>
      </x:c>
      <x:c r="AL9" s="20" t="str">
        <x:v>a9273ee230f5d25a0f321577746188f18f2904ed486024a241b8b90d9945026a</x:v>
      </x:c>
    </x:row>
    <x:row r="10" ht="26" customHeight="1">
      <x:c r="A10" s="20" t="str">
        <x:v>qwen3.5-35b-a3b</x:v>
      </x:c>
      <x:c r="B10" s="20" t="str">
        <x:v>LM Studio API DEV</x:v>
      </x:c>
      <x:c r="C10" s="20" t="str">
        <x:v>old_dev</x:v>
      </x:c>
      <x:c r="D10" s="20" t="str">
        <x:v>RESOURCE_STOP</x:v>
      </x:c>
      <x:c r="E10" s="19" t="n">
        <x:v>13</x:v>
      </x:c>
      <x:c r="F10" s="19" t="n">
        <x:v>7</x:v>
      </x:c>
      <x:c r="G10" s="22" t="n">
        <x:f>IF(E10=0,"",IF(ISNUMBER(F10),F10/E10,""))</x:f>
        <x:v>0.5384615384615384</x:v>
      </x:c>
      <x:c r="H10" s="19" t="n">
        <x:v>0</x:v>
      </x:c>
      <x:c r="I10" s="19" t="n">
        <x:v>6124</x:v>
      </x:c>
      <x:c r="J10" s="19" t="n">
        <x:v>411</x:v>
      </x:c>
      <x:c r="K10" s="19" t="n">
        <x:v>0</x:v>
      </x:c>
      <x:c r="L10" s="19" t="n">
        <x:v>13</x:v>
      </x:c>
      <x:c r="M10" s="19" t="n">
        <x:v>13</x:v>
      </x:c>
      <x:c r="N10" s="19" t="n">
        <x:v>13</x:v>
      </x:c>
      <x:c r="O10" s="24" t="n">
        <x:v>2.3758186230769263</x:v>
      </x:c>
      <x:c r="P10" s="24" t="n">
        <x:v>1.7335896999993565</x:v>
      </x:c>
      <x:c r="Q10" s="24" t="n">
        <x:v>5.26836688000002</x:v>
      </x:c>
      <x:c r="R10" s="24" t="n">
        <x:v>0.7148194999990665</x:v>
      </x:c>
      <x:c r="S10" s="24" t="n">
        <x:v>0.7148194999990665</x:v>
      </x:c>
      <x:c r="T10" s="25" t="n">
        <x:v>31.091332724459214</x:v>
      </x:c>
      <x:c r="U10" s="24"/>
      <x:c r="V10" s="25" t="n">
        <x:v>28.74</x:v>
      </x:c>
      <x:c r="W10" s="19" t="n">
        <x:v>14101</x:v>
      </x:c>
      <x:c r="X10" s="25" t="n">
        <x:v>29.765369415283203</x:v>
      </x:c>
      <x:c r="Y10" s="25" t="n">
        <x:v>20.481590742245317</x:v>
      </x:c>
      <x:c r="Z10" s="20" t="str">
        <x:v>Q4_K_L</x:v>
      </x:c>
      <x:c r="AA10" s="20" t="str">
        <x:v>0.55</x:v>
      </x:c>
      <x:c r="AB10" s="20"/>
      <x:c r="AC10" s="19" t="n">
        <x:v>4096</x:v>
      </x:c>
      <x:c r="AD10" s="19" t="n">
        <x:v>1</x:v>
      </x:c>
      <x:c r="AE10" s="19" t="n">
        <x:v>0</x:v>
      </x:c>
      <x:c r="AF10" s="19" t="n">
        <x:v>512</x:v>
      </x:c>
      <x:c r="AG10" s="19" t="n">
        <x:v>42</x:v>
      </x:c>
      <x:c r="AH10" s="24" t="n">
        <x:v>49.08162569999877</x:v>
      </x:c>
      <x:c r="AI10" s="20" t="str">
        <x:v>off-or-low</x:v>
      </x:c>
      <x:c r="AJ10" s="20" t="str">
        <x:v>20261001T194807Z_f5edc9b3_lm_api</x:v>
      </x:c>
      <x:c r="AK10" s="20" t="str">
        <x:v>results/20261001T194807Z_f5edc9b3_lm_api/qwen3.5-35b-a3b_raw.jsonl</x:v>
      </x:c>
      <x:c r="AL10" s="20" t="str">
        <x:v>e7e289806d800fb27ead607bc667a9239f2062b70570cff3c0f1b6f9227b0e34</x:v>
      </x:c>
    </x:row>
    <x:row r="11" ht="26" customHeight="1">
      <x:c r="A11" s="20" t="str">
        <x:v>gpt-oss-20b</x:v>
      </x:c>
      <x:c r="B11" s="20" t="str">
        <x:v>LM Studio API DEV</x:v>
      </x:c>
      <x:c r="C11" s="20" t="str">
        <x:v>old_dev</x:v>
      </x:c>
      <x:c r="D11" s="20" t="str">
        <x:v>EARLY_STOP</x:v>
      </x:c>
      <x:c r="E11" s="19" t="n">
        <x:v>13</x:v>
      </x:c>
      <x:c r="F11" s="19" t="n">
        <x:v>8</x:v>
      </x:c>
      <x:c r="G11" s="22" t="n">
        <x:f>IF(E11=0,"",IF(ISNUMBER(F11),F11/E11,""))</x:f>
        <x:v>0.6153846153846154</x:v>
      </x:c>
      <x:c r="H11" s="19" t="n">
        <x:v>4</x:v>
      </x:c>
      <x:c r="I11" s="19" t="n">
        <x:v>6437</x:v>
      </x:c>
      <x:c r="J11" s="19" t="n">
        <x:v>4515</x:v>
      </x:c>
      <x:c r="K11" s="19" t="n">
        <x:v>4181</x:v>
      </x:c>
      <x:c r="L11" s="19" t="n">
        <x:v>13</x:v>
      </x:c>
      <x:c r="M11" s="19" t="n">
        <x:v>13</x:v>
      </x:c>
      <x:c r="N11" s="19" t="n">
        <x:v>13</x:v>
      </x:c>
      <x:c r="O11" s="24" t="n">
        <x:v>3.411787030769399</x:v>
      </x:c>
      <x:c r="P11" s="24" t="n">
        <x:v>3.156782399999429</x:v>
      </x:c>
      <x:c r="Q11" s="24" t="n">
        <x:v>5.133421240000825</x:v>
      </x:c>
      <x:c r="R11" s="24" t="n">
        <x:v>0.18225170000005164</x:v>
      </x:c>
      <x:c r="S11" s="24" t="n">
        <x:v>2.7480158000016672</x:v>
      </x:c>
      <x:c r="T11" s="25" t="n">
        <x:v>109.71219066768889</x:v>
      </x:c>
      <x:c r="U11" s="24"/>
      <x:c r="V11" s="25" t="n">
        <x:v>106.26</x:v>
      </x:c>
      <x:c r="W11" s="19" t="n">
        <x:v>12455</x:v>
      </x:c>
      <x:c r="X11" s="25" t="n">
        <x:v>23.476333618164062</x:v>
      </x:c>
      <x:c r="Y11" s="25" t="n">
        <x:v>11.277914802543819</x:v>
      </x:c>
      <x:c r="Z11" s="20" t="str">
        <x:v>Q8_0</x:v>
      </x:c>
      <x:c r="AA11" s="20" t="str">
        <x:v>max</x:v>
      </x:c>
      <x:c r="AB11" s="20"/>
      <x:c r="AC11" s="19" t="n">
        <x:v>4096</x:v>
      </x:c>
      <x:c r="AD11" s="19" t="n">
        <x:v>1</x:v>
      </x:c>
      <x:c r="AE11" s="19" t="n">
        <x:v>0</x:v>
      </x:c>
      <x:c r="AF11" s="19" t="n">
        <x:v>512</x:v>
      </x:c>
      <x:c r="AG11" s="19" t="n">
        <x:v>42</x:v>
      </x:c>
      <x:c r="AH11" s="24" t="n">
        <x:v>17.04803119999997</x:v>
      </x:c>
      <x:c r="AI11" s="20" t="str">
        <x:v>off-or-low</x:v>
      </x:c>
      <x:c r="AJ11" s="20" t="str">
        <x:v>20261001T195351Z_61a2f68c_lm_api</x:v>
      </x:c>
      <x:c r="AK11" s="20" t="str">
        <x:v>results/20261001T195351Z_61a2f68c_lm_api/gpt-oss-20b_raw.jsonl</x:v>
      </x:c>
      <x:c r="AL11" s="20" t="str">
        <x:v>b0639cd8355b30ebeb9fda415de3e5ccee41aafc0ac371edb3352b33aa18609f</x:v>
      </x:c>
    </x:row>
    <x:row r="12" ht="26" customHeight="1">
      <x:c r="A12" s="20" t="str">
        <x:v>gemma-4-26b-a4b-it</x:v>
      </x:c>
      <x:c r="B12" s="20" t="str">
        <x:v>LM Studio API DEV</x:v>
      </x:c>
      <x:c r="C12" s="20" t="str">
        <x:v>old_dev</x:v>
      </x:c>
      <x:c r="D12" s="20" t="str">
        <x:v>measured</x:v>
      </x:c>
      <x:c r="E12" s="19" t="n">
        <x:v>36</x:v>
      </x:c>
      <x:c r="F12" s="19" t="n">
        <x:v>22</x:v>
      </x:c>
      <x:c r="G12" s="22" t="n">
        <x:f>IF(E12=0,"",IF(ISNUMBER(F12),F12/E12,""))</x:f>
        <x:v>0.6111111111111112</x:v>
      </x:c>
      <x:c r="H12" s="19" t="n">
        <x:v>0</x:v>
      </x:c>
      <x:c r="I12" s="19" t="n">
        <x:v>17016</x:v>
      </x:c>
      <x:c r="J12" s="19" t="n">
        <x:v>1307</x:v>
      </x:c>
      <x:c r="K12" s="19" t="n">
        <x:v>0</x:v>
      </x:c>
      <x:c r="L12" s="19" t="n">
        <x:v>36</x:v>
      </x:c>
      <x:c r="M12" s="19" t="n">
        <x:v>36</x:v>
      </x:c>
      <x:c r="N12" s="19" t="n">
        <x:v>36</x:v>
      </x:c>
      <x:c r="O12" s="24" t="n">
        <x:v>1.6378814222223608</x:v>
      </x:c>
      <x:c r="P12" s="24" t="n">
        <x:v>1.53192024999953</x:v>
      </x:c>
      <x:c r="Q12" s="24" t="n">
        <x:v>2.439536500000031</x:v>
      </x:c>
      <x:c r="R12" s="24" t="n">
        <x:v>0.6492609500000981</x:v>
      </x:c>
      <x:c r="S12" s="24" t="n">
        <x:v>0.6492609500000981</x:v>
      </x:c>
      <x:c r="T12" s="25" t="n">
        <x:v>42.983503551096206</x:v>
      </x:c>
      <x:c r="U12" s="24"/>
      <x:c r="V12" s="25" t="n">
        <x:v>33.53</x:v>
      </x:c>
      <x:c r="W12" s="19" t="n">
        <x:v>14042</x:v>
      </x:c>
      <x:c r="X12" s="25" t="n">
        <x:v>26.880290985107422</x:v>
      </x:c>
      <x:c r="Y12" s="25" t="n">
        <x:v>15.690822293050587</x:v>
      </x:c>
      <x:c r="Z12" s="20" t="str">
        <x:v>IQ4_NL_XL</x:v>
      </x:c>
      <x:c r="AA12" s="20" t="str">
        <x:v>0.70</x:v>
      </x:c>
      <x:c r="AB12" s="20"/>
      <x:c r="AC12" s="19" t="n">
        <x:v>4096</x:v>
      </x:c>
      <x:c r="AD12" s="19" t="n">
        <x:v>1</x:v>
      </x:c>
      <x:c r="AE12" s="19" t="n">
        <x:v>0</x:v>
      </x:c>
      <x:c r="AF12" s="19" t="n">
        <x:v>512</x:v>
      </x:c>
      <x:c r="AG12" s="19" t="n">
        <x:v>42</x:v>
      </x:c>
      <x:c r="AH12" s="24" t="n">
        <x:v>21.339523499998904</x:v>
      </x:c>
      <x:c r="AI12" s="20" t="str">
        <x:v>off-or-low</x:v>
      </x:c>
      <x:c r="AJ12" s="20" t="str">
        <x:v>20261001T195351Z_61a2f68c_lm_api</x:v>
      </x:c>
      <x:c r="AK12" s="20" t="str">
        <x:v>results/20261001T195351Z_61a2f68c_lm_api/gemma-4-26b-a4b-it_raw.jsonl</x:v>
      </x:c>
      <x:c r="AL12" s="20" t="str">
        <x:v>9bcedfdd67a7b0522a23f5e7b16c459d45467f7320ff8635ad7ea6b84c86ba37</x:v>
      </x:c>
    </x:row>
    <x:row r="13" ht="26" customHeight="1">
      <x:c r="A13" s="20" t="str">
        <x:v>qwen3.5-9b</x:v>
      </x:c>
      <x:c r="B13" s="20" t="str">
        <x:v>LM Studio API DEV</x:v>
      </x:c>
      <x:c r="C13" s="20" t="str">
        <x:v>old_dev</x:v>
      </x:c>
      <x:c r="D13" s="20" t="str">
        <x:v>measured</x:v>
      </x:c>
      <x:c r="E13" s="19" t="n">
        <x:v>12</x:v>
      </x:c>
      <x:c r="F13" s="19" t="n">
        <x:v>5</x:v>
      </x:c>
      <x:c r="G13" s="22" t="n">
        <x:f>IF(E13=0,"",IF(ISNUMBER(F13),F13/E13,""))</x:f>
        <x:v>0.4166666666666667</x:v>
      </x:c>
      <x:c r="H13" s="19" t="n">
        <x:v>0</x:v>
      </x:c>
      <x:c r="I13" s="19" t="n">
        <x:v>5588</x:v>
      </x:c>
      <x:c r="J13" s="19" t="n">
        <x:v>425</x:v>
      </x:c>
      <x:c r="K13" s="19" t="n">
        <x:v>0</x:v>
      </x:c>
      <x:c r="L13" s="19" t="n">
        <x:v>12</x:v>
      </x:c>
      <x:c r="M13" s="19" t="n">
        <x:v>12</x:v>
      </x:c>
      <x:c r="N13" s="19" t="n">
        <x:v>12</x:v>
      </x:c>
      <x:c r="O13" s="24" t="n">
        <x:v>0.9532043249999637</x:v>
      </x:c>
      <x:c r="P13" s="24" t="n">
        <x:v>0.930146650000097</x:v>
      </x:c>
      <x:c r="Q13" s="24" t="n">
        <x:v>1.364048360000015</x:v>
      </x:c>
      <x:c r="R13" s="24" t="n">
        <x:v>0.11970999999994092</x:v>
      </x:c>
      <x:c r="S13" s="24" t="n">
        <x:v>0.11970999999994092</x:v>
      </x:c>
      <x:c r="T13" s="25" t="n">
        <x:v>46.179640235763664</x:v>
      </x:c>
      <x:c r="U13" s="24"/>
      <x:c r="V13" s="25" t="n">
        <x:v>43.21</x:v>
      </x:c>
      <x:c r="W13" s="19" t="n">
        <x:v>11478</x:v>
      </x:c>
      <x:c r="X13" s="25" t="n">
        <x:v>20.287044525146484</x:v>
      </x:c>
      <x:c r="Y13" s="25" t="n">
        <x:v>10.571967869997025</x:v>
      </x:c>
      <x:c r="Z13" s="20" t="str">
        <x:v>Q8_0</x:v>
      </x:c>
      <x:c r="AA13" s="20" t="str">
        <x:v>max</x:v>
      </x:c>
      <x:c r="AB13" s="20"/>
      <x:c r="AC13" s="19" t="n">
        <x:v>4096</x:v>
      </x:c>
      <x:c r="AD13" s="19" t="n">
        <x:v>1</x:v>
      </x:c>
      <x:c r="AE13" s="19" t="n">
        <x:v>0</x:v>
      </x:c>
      <x:c r="AF13" s="19" t="n">
        <x:v>512</x:v>
      </x:c>
      <x:c r="AG13" s="19" t="n">
        <x:v>42</x:v>
      </x:c>
      <x:c r="AH13" s="24" t="n">
        <x:v>30.1915312000001</x:v>
      </x:c>
      <x:c r="AI13" s="20" t="str">
        <x:v>off-or-low</x:v>
      </x:c>
      <x:c r="AJ13" s="20" t="str">
        <x:v>20261001T195754Z_57e25698_lm_api</x:v>
      </x:c>
      <x:c r="AK13" s="20" t="str">
        <x:v>results/20261001T195754Z_57e25698_lm_api/qwen3.5-9b_raw.jsonl</x:v>
      </x:c>
      <x:c r="AL13" s="20" t="str">
        <x:v>5d296f5e7dd626b5505f76db323707add560ba33dabfb49e0fbb2088a4617f3c</x:v>
      </x:c>
    </x:row>
    <x:row r="14" ht="26" customHeight="1">
      <x:c r="A14" s="20" t="str">
        <x:v>gemma-4-12b-it</x:v>
      </x:c>
      <x:c r="B14" s="20" t="str">
        <x:v>LM Studio API DEV</x:v>
      </x:c>
      <x:c r="C14" s="20" t="str">
        <x:v>old_dev</x:v>
      </x:c>
      <x:c r="D14" s="20" t="str">
        <x:v>measured</x:v>
      </x:c>
      <x:c r="E14" s="19" t="n">
        <x:v>12</x:v>
      </x:c>
      <x:c r="F14" s="19" t="n">
        <x:v>8</x:v>
      </x:c>
      <x:c r="G14" s="22" t="n">
        <x:f>IF(E14=0,"",IF(ISNUMBER(F14),F14/E14,""))</x:f>
        <x:v>0.6666666666666666</x:v>
      </x:c>
      <x:c r="H14" s="19" t="n">
        <x:v>0</x:v>
      </x:c>
      <x:c r="I14" s="19" t="n">
        <x:v>5764</x:v>
      </x:c>
      <x:c r="J14" s="19" t="n">
        <x:v>481</x:v>
      </x:c>
      <x:c r="K14" s="19" t="n">
        <x:v>0</x:v>
      </x:c>
      <x:c r="L14" s="19" t="n">
        <x:v>12</x:v>
      </x:c>
      <x:c r="M14" s="19" t="n">
        <x:v>12</x:v>
      </x:c>
      <x:c r="N14" s="19" t="n">
        <x:v>12</x:v>
      </x:c>
      <x:c r="O14" s="24" t="n">
        <x:v>1.0757334166664805</x:v>
      </x:c>
      <x:c r="P14" s="24" t="n">
        <x:v>0.9898497499989389</x:v>
      </x:c>
      <x:c r="Q14" s="24" t="n">
        <x:v>1.525098935000005</x:v>
      </x:c>
      <x:c r="R14" s="24" t="n">
        <x:v>0.29901109999991604</x:v>
      </x:c>
      <x:c r="S14" s="24" t="n">
        <x:v>0.29901109999991604</x:v>
      </x:c>
      <x:c r="T14" s="25" t="n">
        <x:v>59.942019796854346</x:v>
      </x:c>
      <x:c r="U14" s="24"/>
      <x:c r="V14" s="25" t="n">
        <x:v>47.915000000000006</x:v>
      </x:c>
      <x:c r="W14" s="19" t="n">
        <x:v>8660</x:v>
      </x:c>
      <x:c r="X14" s="25" t="n">
        <x:v>17.52806854248047</x:v>
      </x:c>
      <x:c r="Y14" s="25" t="n">
        <x:v>6.495087593793869</x:v>
      </x:c>
      <x:c r="Z14" s="20" t="str">
        <x:v>Q4_K_S</x:v>
      </x:c>
      <x:c r="AA14" s="20" t="str">
        <x:v>max</x:v>
      </x:c>
      <x:c r="AB14" s="20"/>
      <x:c r="AC14" s="19" t="n">
        <x:v>4096</x:v>
      </x:c>
      <x:c r="AD14" s="19" t="n">
        <x:v>1</x:v>
      </x:c>
      <x:c r="AE14" s="19" t="n">
        <x:v>0</x:v>
      </x:c>
      <x:c r="AF14" s="19" t="n">
        <x:v>512</x:v>
      </x:c>
      <x:c r="AG14" s="19" t="n">
        <x:v>42</x:v>
      </x:c>
      <x:c r="AH14" s="24" t="n">
        <x:v>8.272689600000376</x:v>
      </x:c>
      <x:c r="AI14" s="20" t="str">
        <x:v>off-or-low</x:v>
      </x:c>
      <x:c r="AJ14" s="20" t="str">
        <x:v>20261001T195754Z_57e25698_lm_api</x:v>
      </x:c>
      <x:c r="AK14" s="20" t="str">
        <x:v>results/20261001T195754Z_57e25698_lm_api/gemma-4-12b-it_raw.jsonl</x:v>
      </x:c>
      <x:c r="AL14" s="20" t="str">
        <x:v>de055e17d841353795425e892afbcc85d34887bce8ab9003c392c00e13ca1f9b</x:v>
      </x:c>
    </x:row>
    <x:row r="15" ht="26" customHeight="1">
      <x:c r="A15" s="20" t="str">
        <x:v>minicpm5-1b</x:v>
      </x:c>
      <x:c r="B15" s="20" t="str">
        <x:v>LM Studio API DEV</x:v>
      </x:c>
      <x:c r="C15" s="20" t="str">
        <x:v>old_dev</x:v>
      </x:c>
      <x:c r="D15" s="20" t="str">
        <x:v>measured</x:v>
      </x:c>
      <x:c r="E15" s="19" t="n">
        <x:v>12</x:v>
      </x:c>
      <x:c r="F15" s="19" t="n">
        <x:v>1</x:v>
      </x:c>
      <x:c r="G15" s="22" t="n">
        <x:f>IF(E15=0,"",IF(ISNUMBER(F15),F15/E15,""))</x:f>
        <x:v>0.08333333333333333</x:v>
      </x:c>
      <x:c r="H15" s="19" t="n">
        <x:v>0</x:v>
      </x:c>
      <x:c r="I15" s="19" t="n">
        <x:v>5289</x:v>
      </x:c>
      <x:c r="J15" s="19" t="n">
        <x:v>711</x:v>
      </x:c>
      <x:c r="K15" s="19" t="n">
        <x:v>0</x:v>
      </x:c>
      <x:c r="L15" s="19" t="n">
        <x:v>12</x:v>
      </x:c>
      <x:c r="M15" s="19" t="n">
        <x:v>12</x:v>
      </x:c>
      <x:c r="N15" s="19" t="n">
        <x:v>12</x:v>
      </x:c>
      <x:c r="O15" s="24" t="n">
        <x:v>0.2757507666666849</x:v>
      </x:c>
      <x:c r="P15" s="24" t="n">
        <x:v>0.24073404999944614</x:v>
      </x:c>
      <x:c r="Q15" s="24" t="n">
        <x:v>0.537013339999612</x:v>
      </x:c>
      <x:c r="R15" s="24" t="n">
        <x:v>0.021818349999193742</x:v>
      </x:c>
      <x:c r="S15" s="24" t="n">
        <x:v>0.021818349999193742</x:v>
      </x:c>
      <x:c r="T15" s="25" t="n">
        <x:v>251.66067606503805</x:v>
      </x:c>
      <x:c r="U15" s="24"/>
      <x:c r="V15" s="25" t="n">
        <x:v>247.675</x:v>
      </x:c>
      <x:c r="W15" s="19" t="n">
        <x:v>2196</x:v>
      </x:c>
      <x:c r="X15" s="25" t="n">
        <x:v>11.796154022216797</x:v>
      </x:c>
      <x:c r="Y15" s="25" t="n">
        <x:v>1.0743077993392944</x:v>
      </x:c>
      <x:c r="Z15" s="20" t="str">
        <x:v>Q8_0</x:v>
      </x:c>
      <x:c r="AA15" s="20" t="str">
        <x:v>max</x:v>
      </x:c>
      <x:c r="AB15" s="20"/>
      <x:c r="AC15" s="19" t="n">
        <x:v>4096</x:v>
      </x:c>
      <x:c r="AD15" s="19" t="n">
        <x:v>1</x:v>
      </x:c>
      <x:c r="AE15" s="19" t="n">
        <x:v>0</x:v>
      </x:c>
      <x:c r="AF15" s="19" t="n">
        <x:v>512</x:v>
      </x:c>
      <x:c r="AG15" s="19" t="n">
        <x:v>42</x:v>
      </x:c>
      <x:c r="AH15" s="24" t="n">
        <x:v>2.244291200000589</x:v>
      </x:c>
      <x:c r="AI15" s="20" t="str">
        <x:v>off-or-low</x:v>
      </x:c>
      <x:c r="AJ15" s="20" t="str">
        <x:v>20261001T195754Z_57e25698_lm_api</x:v>
      </x:c>
      <x:c r="AK15" s="20" t="str">
        <x:v>results/20261001T195754Z_57e25698_lm_api/minicpm5-1b_raw.jsonl</x:v>
      </x:c>
      <x:c r="AL15" s="20" t="str">
        <x:v>d95f45280245e9130a7513c0bf255a15b006d489b7a8f774debee0dc2f7a4f85</x:v>
      </x:c>
    </x:row>
    <x:row r="16" ht="26" customHeight="1">
      <x:c r="A16" s="20" t="str">
        <x:v>webworld-8b-i1</x:v>
      </x:c>
      <x:c r="B16" s="20" t="str">
        <x:v>LM Studio API DEV</x:v>
      </x:c>
      <x:c r="C16" s="20" t="str">
        <x:v>old_dev</x:v>
      </x:c>
      <x:c r="D16" s="20" t="str">
        <x:v>measured</x:v>
      </x:c>
      <x:c r="E16" s="19" t="n">
        <x:v>12</x:v>
      </x:c>
      <x:c r="F16" s="19" t="n">
        <x:v>6</x:v>
      </x:c>
      <x:c r="G16" s="22" t="n">
        <x:f>IF(E16=0,"",IF(ISNUMBER(F16),F16/E16,""))</x:f>
        <x:v>0.5</x:v>
      </x:c>
      <x:c r="H16" s="19" t="n">
        <x:v>0</x:v>
      </x:c>
      <x:c r="I16" s="19" t="n">
        <x:v>5493</x:v>
      </x:c>
      <x:c r="J16" s="19" t="n">
        <x:v>371</x:v>
      </x:c>
      <x:c r="K16" s="19" t="n">
        <x:v>0</x:v>
      </x:c>
      <x:c r="L16" s="19" t="n">
        <x:v>12</x:v>
      </x:c>
      <x:c r="M16" s="19" t="n">
        <x:v>12</x:v>
      </x:c>
      <x:c r="N16" s="19" t="n">
        <x:v>12</x:v>
      </x:c>
      <x:c r="O16" s="24" t="n">
        <x:v>0.5963463083332196</x:v>
      </x:c>
      <x:c r="P16" s="24" t="n">
        <x:v>0.5479371499995978</x:v>
      </x:c>
      <x:c r="Q16" s="24" t="n">
        <x:v>0.7984430899996369</x:v>
      </x:c>
      <x:c r="R16" s="24" t="n">
        <x:v>0.0707093500004703</x:v>
      </x:c>
      <x:c r="S16" s="24" t="n">
        <x:v>0.0707093500004703</x:v>
      </x:c>
      <x:c r="T16" s="25" t="n">
        <x:v>63.289384787453606</x:v>
      </x:c>
      <x:c r="U16" s="24"/>
      <x:c r="V16" s="25" t="n">
        <x:v>58.620000000000005</x:v>
      </x:c>
      <x:c r="W16" s="19" t="n">
        <x:v>7770</x:v>
      </x:c>
      <x:c r="X16" s="25" t="n">
        <x:v>16.880290985107422</x:v>
      </x:c>
      <x:c r="Y16" s="25" t="n">
        <x:v>6.263983190059662</x:v>
      </x:c>
      <x:c r="Z16" s="20" t="str">
        <x:v>Q6_K</x:v>
      </x:c>
      <x:c r="AA16" s="20" t="str">
        <x:v>max</x:v>
      </x:c>
      <x:c r="AB16" s="20"/>
      <x:c r="AC16" s="19" t="n">
        <x:v>4096</x:v>
      </x:c>
      <x:c r="AD16" s="19" t="n">
        <x:v>1</x:v>
      </x:c>
      <x:c r="AE16" s="19" t="n">
        <x:v>0</x:v>
      </x:c>
      <x:c r="AF16" s="19" t="n">
        <x:v>512</x:v>
      </x:c>
      <x:c r="AG16" s="19" t="n">
        <x:v>42</x:v>
      </x:c>
      <x:c r="AH16" s="24" t="n">
        <x:v>6.634262300000046</x:v>
      </x:c>
      <x:c r="AI16" s="20" t="str">
        <x:v>off-or-low</x:v>
      </x:c>
      <x:c r="AJ16" s="20" t="str">
        <x:v>20261001T195754Z_57e25698_lm_api</x:v>
      </x:c>
      <x:c r="AK16" s="20" t="str">
        <x:v>results/20261001T195754Z_57e25698_lm_api/webworld-8b-i1_raw.jsonl</x:v>
      </x:c>
      <x:c r="AL16" s="20" t="str">
        <x:v>c4f29e5c6f3aa6b5232070a6234e0f4f439aea05cb486848cf52617a7d2692ec</x:v>
      </x:c>
    </x:row>
    <x:row r="17" ht="26" customHeight="1">
      <x:c r="A17" s="20" t="str">
        <x:v>granite-4.1-8b</x:v>
      </x:c>
      <x:c r="B17" s="20" t="str">
        <x:v>LM Studio API DEV</x:v>
      </x:c>
      <x:c r="C17" s="20" t="str">
        <x:v>old_dev</x:v>
      </x:c>
      <x:c r="D17" s="20" t="str">
        <x:v>measured</x:v>
      </x:c>
      <x:c r="E17" s="19" t="n">
        <x:v>12</x:v>
      </x:c>
      <x:c r="F17" s="19" t="n">
        <x:v>6</x:v>
      </x:c>
      <x:c r="G17" s="22" t="n">
        <x:f>IF(E17=0,"",IF(ISNUMBER(F17),F17/E17,""))</x:f>
        <x:v>0.5</x:v>
      </x:c>
      <x:c r="H17" s="19" t="n">
        <x:v>0</x:v>
      </x:c>
      <x:c r="I17" s="19" t="n">
        <x:v>5254</x:v>
      </x:c>
      <x:c r="J17" s="19" t="n">
        <x:v>555</x:v>
      </x:c>
      <x:c r="K17" s="19" t="n">
        <x:v>0</x:v>
      </x:c>
      <x:c r="L17" s="19" t="n">
        <x:v>12</x:v>
      </x:c>
      <x:c r="M17" s="19" t="n">
        <x:v>12</x:v>
      </x:c>
      <x:c r="N17" s="19" t="n">
        <x:v>12</x:v>
      </x:c>
      <x:c r="O17" s="24" t="n">
        <x:v>0.8866949666668612</x:v>
      </x:c>
      <x:c r="P17" s="24" t="n">
        <x:v>0.7998342499995488</x:v>
      </x:c>
      <x:c r="Q17" s="24" t="n">
        <x:v>1.465105129999756</x:v>
      </x:c>
      <x:c r="R17" s="24" t="n">
        <x:v>0.08985475000008591</x:v>
      </x:c>
      <x:c r="S17" s="24" t="n">
        <x:v>0.08985475000008591</x:v>
      </x:c>
      <x:c r="T17" s="25" t="n">
        <x:v>74.81658005347025</x:v>
      </x:c>
      <x:c r="U17" s="24"/>
      <x:c r="V17" s="25" t="n">
        <x:v>60.28</x:v>
      </x:c>
      <x:c r="W17" s="19" t="n">
        <x:v>6796</x:v>
      </x:c>
      <x:c r="X17" s="25" t="n">
        <x:v>16.438034057617188</x:v>
      </x:c>
      <x:c r="Y17" s="25" t="n">
        <x:v>4.980634093284607</x:v>
      </x:c>
      <x:c r="Z17" s="20" t="str">
        <x:v>Q4_K_M</x:v>
      </x:c>
      <x:c r="AA17" s="20" t="str">
        <x:v>max</x:v>
      </x:c>
      <x:c r="AB17" s="20"/>
      <x:c r="AC17" s="19" t="n">
        <x:v>4096</x:v>
      </x:c>
      <x:c r="AD17" s="19" t="n">
        <x:v>1</x:v>
      </x:c>
      <x:c r="AE17" s="19" t="n">
        <x:v>0</x:v>
      </x:c>
      <x:c r="AF17" s="19" t="n">
        <x:v>512</x:v>
      </x:c>
      <x:c r="AG17" s="19" t="n">
        <x:v>42</x:v>
      </x:c>
      <x:c r="AH17" s="24" t="n">
        <x:v>5.530558499998733</x:v>
      </x:c>
      <x:c r="AI17" s="20" t="str">
        <x:v>off-or-low</x:v>
      </x:c>
      <x:c r="AJ17" s="20" t="str">
        <x:v>20261001T195754Z_57e25698_lm_api</x:v>
      </x:c>
      <x:c r="AK17" s="20" t="str">
        <x:v>results/20261001T195754Z_57e25698_lm_api/granite-4.1-8b_raw.jsonl</x:v>
      </x:c>
      <x:c r="AL17" s="20" t="str">
        <x:v>d72b73e029f05fe3a900142cfd3a81b36f9a1ffbb01f9fa5d239b6f84ca9ae66</x:v>
      </x:c>
    </x:row>
    <x:row r="18" ht="26" customHeight="1">
      <x:c r="A18" s="20" t="str">
        <x:v>dr-venus-4b-rl</x:v>
      </x:c>
      <x:c r="B18" s="20" t="str">
        <x:v>LM Studio API DEV</x:v>
      </x:c>
      <x:c r="C18" s="20" t="str">
        <x:v>old_dev</x:v>
      </x:c>
      <x:c r="D18" s="20" t="str">
        <x:v>EARLY_STOP</x:v>
      </x:c>
      <x:c r="E18" s="19" t="n">
        <x:v>6</x:v>
      </x:c>
      <x:c r="F18" s="19" t="n">
        <x:v>1</x:v>
      </x:c>
      <x:c r="G18" s="22" t="n">
        <x:f>IF(E18=0,"",IF(ISNUMBER(F18),F18/E18,""))</x:f>
        <x:v>0.16666666666666666</x:v>
      </x:c>
      <x:c r="H18" s="19" t="n">
        <x:v>4</x:v>
      </x:c>
      <x:c r="I18" s="19" t="n">
        <x:v>2782</x:v>
      </x:c>
      <x:c r="J18" s="19" t="n">
        <x:v>2523</x:v>
      </x:c>
      <x:c r="K18" s="19" t="n">
        <x:v>2450</x:v>
      </x:c>
      <x:c r="L18" s="19" t="n">
        <x:v>6</x:v>
      </x:c>
      <x:c r="M18" s="19" t="n">
        <x:v>6</x:v>
      </x:c>
      <x:c r="N18" s="19" t="n">
        <x:v>6</x:v>
      </x:c>
      <x:c r="O18" s="24" t="n">
        <x:v>4.054066383332611</x:v>
      </x:c>
      <x:c r="P18" s="24" t="n">
        <x:v>4.858588449998933</x:v>
      </x:c>
      <x:c r="Q18" s="24" t="n">
        <x:v>4.956783600000108</x:v>
      </x:c>
      <x:c r="R18" s="24" t="n">
        <x:v>0.07481369999914023</x:v>
      </x:c>
      <x:c r="S18" s="24" t="n">
        <x:v>2.007938399999148</x:v>
      </x:c>
      <x:c r="T18" s="25" t="n">
        <x:v>105.69395335094225</x:v>
      </x:c>
      <x:c r="U18" s="24"/>
      <x:c r="V18" s="25" t="n">
        <x:v>105.525</x:v>
      </x:c>
      <x:c r="W18" s="19" t="n">
        <x:v>4200</x:v>
      </x:c>
      <x:c r="X18" s="25" t="n">
        <x:v>14.195262908935547</x:v>
      </x:c>
      <x:c r="Y18" s="25" t="n">
        <x:v>2.5295353829860687</x:v>
      </x:c>
      <x:c r="Z18" s="20" t="str">
        <x:v>Q4_K_M</x:v>
      </x:c>
      <x:c r="AA18" s="20" t="str">
        <x:v>max</x:v>
      </x:c>
      <x:c r="AB18" s="20"/>
      <x:c r="AC18" s="19" t="n">
        <x:v>4096</x:v>
      </x:c>
      <x:c r="AD18" s="19" t="n">
        <x:v>1</x:v>
      </x:c>
      <x:c r="AE18" s="19" t="n">
        <x:v>0</x:v>
      </x:c>
      <x:c r="AF18" s="19" t="n">
        <x:v>512</x:v>
      </x:c>
      <x:c r="AG18" s="19" t="n">
        <x:v>42</x:v>
      </x:c>
      <x:c r="AH18" s="24" t="n">
        <x:v>3.864323499999955</x:v>
      </x:c>
      <x:c r="AI18" s="20" t="str">
        <x:v>off-or-low</x:v>
      </x:c>
      <x:c r="AJ18" s="20" t="str">
        <x:v>20261001T195754Z_57e25698_lm_api</x:v>
      </x:c>
      <x:c r="AK18" s="20" t="str">
        <x:v>results/20261001T195754Z_57e25698_lm_api/dr-venus-4b-rl_raw.jsonl</x:v>
      </x:c>
      <x:c r="AL18" s="20" t="str">
        <x:v>aa7cd64ad3dd401078b04ab5513715c1f89be71d91574b3ff6b31c6c1d4b3f60</x:v>
      </x:c>
    </x:row>
    <x:row r="19" ht="26" customHeight="1">
      <x:c r="A19" s="20" t="str">
        <x:v>qwen3-vl-8b-instruct</x:v>
      </x:c>
      <x:c r="B19" s="20" t="str">
        <x:v>LM Studio API DEV</x:v>
      </x:c>
      <x:c r="C19" s="20" t="str">
        <x:v>old_dev</x:v>
      </x:c>
      <x:c r="D19" s="20" t="str">
        <x:v>measured</x:v>
      </x:c>
      <x:c r="E19" s="19" t="n">
        <x:v>12</x:v>
      </x:c>
      <x:c r="F19" s="19" t="n">
        <x:v>5</x:v>
      </x:c>
      <x:c r="G19" s="22" t="n">
        <x:f>IF(E19=0,"",IF(ISNUMBER(F19),F19/E19,""))</x:f>
        <x:v>0.4166666666666667</x:v>
      </x:c>
      <x:c r="H19" s="19" t="n">
        <x:v>0</x:v>
      </x:c>
      <x:c r="I19" s="19" t="n">
        <x:v>5445</x:v>
      </x:c>
      <x:c r="J19" s="19" t="n">
        <x:v>313</x:v>
      </x:c>
      <x:c r="K19" s="19" t="n">
        <x:v>0</x:v>
      </x:c>
      <x:c r="L19" s="19" t="n">
        <x:v>12</x:v>
      </x:c>
      <x:c r="M19" s="19" t="n">
        <x:v>12</x:v>
      </x:c>
      <x:c r="N19" s="19" t="n">
        <x:v>12</x:v>
      </x:c>
      <x:c r="O19" s="24" t="n">
        <x:v>0.6099434583334187</x:v>
      </x:c>
      <x:c r="P19" s="24" t="n">
        <x:v>0.5851641999988715</x:v>
      </x:c>
      <x:c r="Q19" s="24" t="n">
        <x:v>0.7057883200006472</x:v>
      </x:c>
      <x:c r="R19" s="24" t="n">
        <x:v>0.05501529999946797</x:v>
      </x:c>
      <x:c r="S19" s="24" t="n">
        <x:v>0.05501529999946797</x:v>
      </x:c>
      <x:c r="T19" s="25" t="n">
        <x:v>50.43856726669222</x:v>
      </x:c>
      <x:c r="U19" s="24"/>
      <x:c r="V19" s="25" t="n">
        <x:v>46.695</x:v>
      </x:c>
      <x:c r="W19" s="19" t="n">
        <x:v>11024</x:v>
      </x:c>
      <x:c r="X19" s="25" t="n">
        <x:v>19.502304077148438</x:v>
      </x:c>
      <x:c r="Y19" s="25" t="n">
        <x:v>9.190802723169327</x:v>
      </x:c>
      <x:c r="Z19" s="20" t="str">
        <x:v>Q8_0</x:v>
      </x:c>
      <x:c r="AA19" s="20" t="str">
        <x:v>max</x:v>
      </x:c>
      <x:c r="AB19" s="20"/>
      <x:c r="AC19" s="19" t="n">
        <x:v>4096</x:v>
      </x:c>
      <x:c r="AD19" s="19" t="n">
        <x:v>1</x:v>
      </x:c>
      <x:c r="AE19" s="19" t="n">
        <x:v>0</x:v>
      </x:c>
      <x:c r="AF19" s="19" t="n">
        <x:v>512</x:v>
      </x:c>
      <x:c r="AG19" s="19" t="n">
        <x:v>42</x:v>
      </x:c>
      <x:c r="AH19" s="24" t="n">
        <x:v>15.888590999998996</x:v>
      </x:c>
      <x:c r="AI19" s="20" t="str">
        <x:v>off-or-low</x:v>
      </x:c>
      <x:c r="AJ19" s="20" t="str">
        <x:v>20261001T195754Z_57e25698_lm_api</x:v>
      </x:c>
      <x:c r="AK19" s="20" t="str">
        <x:v>results/20261001T195754Z_57e25698_lm_api/qwen3-vl-8b-instruct_raw.jsonl</x:v>
      </x:c>
      <x:c r="AL19" s="20" t="str">
        <x:v>a6ad6531d46fa5f44409ac27f842ae46d966a8b3c99b6cfdc3622289f2c137ce</x:v>
      </x:c>
    </x:row>
    <x:row r="20" ht="26" customHeight="1">
      <x:c r="A20" s="20" t="str">
        <x:v>qwen3-8b-deepseek-v3.2-speciale-distill</x:v>
      </x:c>
      <x:c r="B20" s="20" t="str">
        <x:v>LM Studio API DEV</x:v>
      </x:c>
      <x:c r="C20" s="20" t="str">
        <x:v>old_dev</x:v>
      </x:c>
      <x:c r="D20" s="20" t="str">
        <x:v>measured</x:v>
      </x:c>
      <x:c r="E20" s="19" t="n">
        <x:v>12</x:v>
      </x:c>
      <x:c r="F20" s="19" t="n">
        <x:v>8</x:v>
      </x:c>
      <x:c r="G20" s="22" t="n">
        <x:f>IF(E20=0,"",IF(ISNUMBER(F20),F20/E20,""))</x:f>
        <x:v>0.6666666666666666</x:v>
      </x:c>
      <x:c r="H20" s="19" t="n">
        <x:v>0</x:v>
      </x:c>
      <x:c r="I20" s="19" t="n">
        <x:v>5493</x:v>
      </x:c>
      <x:c r="J20" s="19" t="n">
        <x:v>281</x:v>
      </x:c>
      <x:c r="K20" s="19" t="n">
        <x:v>0</x:v>
      </x:c>
      <x:c r="L20" s="19" t="n">
        <x:v>12</x:v>
      </x:c>
      <x:c r="M20" s="19" t="n">
        <x:v>12</x:v>
      </x:c>
      <x:c r="N20" s="19" t="n">
        <x:v>12</x:v>
      </x:c>
      <x:c r="O20" s="24" t="n">
        <x:v>0.42716387499982983</x:v>
      </x:c>
      <x:c r="P20" s="24" t="n">
        <x:v>0.4186236999994435</x:v>
      </x:c>
      <x:c r="Q20" s="24" t="n">
        <x:v>0.5228648400001474</x:v>
      </x:c>
      <x:c r="R20" s="24" t="n">
        <x:v>0.056604750000587956</x:v>
      </x:c>
      <x:c r="S20" s="24" t="n">
        <x:v>0.056604750000587956</x:v>
      </x:c>
      <x:c r="T20" s="25" t="n">
        <x:v>68.76597058738764</x:v>
      </x:c>
      <x:c r="U20" s="24"/>
      <x:c r="V20" s="25" t="n">
        <x:v>63.27</x:v>
      </x:c>
      <x:c r="W20" s="19" t="n">
        <x:v>6304</x:v>
      </x:c>
      <x:c r="X20" s="25" t="n">
        <x:v>15.471961975097656</x:v>
      </x:c>
      <x:c r="Y20" s="25" t="n">
        <x:v>4.682491015642881</x:v>
      </x:c>
      <x:c r="Z20" s="20" t="str">
        <x:v>Q4_K_M</x:v>
      </x:c>
      <x:c r="AA20" s="20" t="str">
        <x:v>max</x:v>
      </x:c>
      <x:c r="AB20" s="20"/>
      <x:c r="AC20" s="19" t="n">
        <x:v>4096</x:v>
      </x:c>
      <x:c r="AD20" s="19" t="n">
        <x:v>1</x:v>
      </x:c>
      <x:c r="AE20" s="19" t="n">
        <x:v>0</x:v>
      </x:c>
      <x:c r="AF20" s="19" t="n">
        <x:v>512</x:v>
      </x:c>
      <x:c r="AG20" s="19" t="n">
        <x:v>42</x:v>
      </x:c>
      <x:c r="AH20" s="24" t="n">
        <x:v>12.946205600001122</x:v>
      </x:c>
      <x:c r="AI20" s="20" t="str">
        <x:v>off-or-low</x:v>
      </x:c>
      <x:c r="AJ20" s="20" t="str">
        <x:v>20261001T195754Z_57e25698_lm_api</x:v>
      </x:c>
      <x:c r="AK20" s="20" t="str">
        <x:v>results/20261001T195754Z_57e25698_lm_api/qwen3-8b-deepseek-v3.2-speciale-distill_raw.jsonl</x:v>
      </x:c>
      <x:c r="AL20" s="20" t="str">
        <x:v>cda8bf58aea3f4a5a52a75e6cc8f81fd6c1d5d90ca5c9665fe0f55dd95dedc3b</x:v>
      </x:c>
    </x:row>
    <x:row r="21" ht="26" customHeight="1">
      <x:c r="A21" s="20" t="str">
        <x:v>qwen3-omni-30b-a3b-instruct</x:v>
      </x:c>
      <x:c r="B21" s="20" t="str">
        <x:v>LM Studio API DEV</x:v>
      </x:c>
      <x:c r="C21" s="20" t="str">
        <x:v>old_dev</x:v>
      </x:c>
      <x:c r="D21" s="20" t="str">
        <x:v>measured</x:v>
      </x:c>
      <x:c r="E21" s="19" t="n">
        <x:v>12</x:v>
      </x:c>
      <x:c r="F21" s="19" t="n">
        <x:v>6</x:v>
      </x:c>
      <x:c r="G21" s="22" t="n">
        <x:f>IF(E21=0,"",IF(ISNUMBER(F21),F21/E21,""))</x:f>
        <x:v>0.5</x:v>
      </x:c>
      <x:c r="H21" s="19" t="n">
        <x:v>0</x:v>
      </x:c>
      <x:c r="I21" s="19" t="n">
        <x:v>5493</x:v>
      </x:c>
      <x:c r="J21" s="19" t="n">
        <x:v>407</x:v>
      </x:c>
      <x:c r="K21" s="19" t="n">
        <x:v>0</x:v>
      </x:c>
      <x:c r="L21" s="19" t="n">
        <x:v>12</x:v>
      </x:c>
      <x:c r="M21" s="19" t="n">
        <x:v>12</x:v>
      </x:c>
      <x:c r="N21" s="19" t="n">
        <x:v>12</x:v>
      </x:c>
      <x:c r="O21" s="24" t="n">
        <x:v>1.4464738666664136</x:v>
      </x:c>
      <x:c r="P21" s="24" t="n">
        <x:v>1.3367081999995207</x:v>
      </x:c>
      <x:c r="Q21" s="24" t="n">
        <x:v>2.172807249999823</x:v>
      </x:c>
      <x:c r="R21" s="24" t="n">
        <x:v>0.5544238000011319</x:v>
      </x:c>
      <x:c r="S21" s="24" t="n">
        <x:v>0.5544238000011319</x:v>
      </x:c>
      <x:c r="T21" s="25" t="n">
        <x:v>42.52690472105347</x:v>
      </x:c>
      <x:c r="U21" s="24"/>
      <x:c r="V21" s="25" t="n">
        <x:v>38.39</x:v>
      </x:c>
      <x:c r="W21" s="19" t="n">
        <x:v>14908</x:v>
      </x:c>
      <x:c r="X21" s="25" t="n">
        <x:v>29.03158187866211</x:v>
      </x:c>
      <x:c r="Y21" s="25" t="n">
        <x:v>19.33846578001976</x:v>
      </x:c>
      <x:c r="Z21" s="20" t="str">
        <x:v>Q4_K_M</x:v>
      </x:c>
      <x:c r="AA21" s="20" t="str">
        <x:v>0.60</x:v>
      </x:c>
      <x:c r="AB21" s="20"/>
      <x:c r="AC21" s="19" t="n">
        <x:v>4096</x:v>
      </x:c>
      <x:c r="AD21" s="19" t="n">
        <x:v>1</x:v>
      </x:c>
      <x:c r="AE21" s="19" t="n">
        <x:v>0</x:v>
      </x:c>
      <x:c r="AF21" s="19" t="n">
        <x:v>512</x:v>
      </x:c>
      <x:c r="AG21" s="19" t="n">
        <x:v>42</x:v>
      </x:c>
      <x:c r="AH21" s="24" t="n">
        <x:v>33.5441021000006</x:v>
      </x:c>
      <x:c r="AI21" s="20" t="str">
        <x:v>off-or-low</x:v>
      </x:c>
      <x:c r="AJ21" s="20" t="str">
        <x:v>20261001T195754Z_57e25698_lm_api</x:v>
      </x:c>
      <x:c r="AK21" s="20" t="str">
        <x:v>results/20261001T195754Z_57e25698_lm_api/qwen3-omni-30b-a3b-instruct_raw.jsonl</x:v>
      </x:c>
      <x:c r="AL21" s="20" t="str">
        <x:v>43e155c38b31f11496df3564820ab0d174db37bd8286de12de64e89a4422f0b3</x:v>
      </x:c>
    </x:row>
    <x:row r="22" ht="26" customHeight="1">
      <x:c r="A22" s="20" t="str">
        <x:v>qwen3.6-35b-a3b-uncensored-hauhaucs-aggressive</x:v>
      </x:c>
      <x:c r="B22" s="20" t="str">
        <x:v>LM Studio API DEV</x:v>
      </x:c>
      <x:c r="C22" s="20" t="str">
        <x:v>old_dev</x:v>
      </x:c>
      <x:c r="D22" s="20" t="str">
        <x:v>NOT_RUN_PRIOR_RESOURCE_GUARD</x:v>
      </x:c>
      <x:c r="E22" s="19" t="n">
        <x:v>0</x:v>
      </x:c>
      <x:c r="F22" s="19"/>
      <x:c r="G22" s="22" t="str">
        <x:f>IF(E22=0,"",IF(ISNUMBER(F22),F22/E22,""))</x:f>
      </x:c>
      <x:c r="H22" s="19"/>
      <x:c r="I22" s="19"/>
      <x:c r="J22" s="19"/>
      <x:c r="K22" s="19"/>
      <x:c r="L22" s="19" t="n">
        <x:v>0</x:v>
      </x:c>
      <x:c r="M22" s="19" t="n">
        <x:v>0</x:v>
      </x:c>
      <x:c r="N22" s="19" t="n">
        <x:v>0</x:v>
      </x:c>
      <x:c r="O22" s="24"/>
      <x:c r="P22" s="24"/>
      <x:c r="Q22" s="24"/>
      <x:c r="R22" s="24"/>
      <x:c r="S22" s="24"/>
      <x:c r="T22" s="25"/>
      <x:c r="U22" s="24"/>
      <x:c r="V22" s="25"/>
      <x:c r="W22" s="19"/>
      <x:c r="X22" s="25"/>
      <x:c r="Y22" s="25" t="n">
        <x:v>20.550602197647095</x:v>
      </x:c>
      <x:c r="Z22" s="20" t="str">
        <x:v>Q4_K_M</x:v>
      </x:c>
      <x:c r="AA22" s="20" t="str">
        <x:v>0.55</x:v>
      </x:c>
      <x:c r="AB22" s="20"/>
      <x:c r="AC22" s="19"/>
      <x:c r="AD22" s="19"/>
      <x:c r="AE22" s="19" t="n">
        <x:v>0</x:v>
      </x:c>
      <x:c r="AF22" s="19" t="n">
        <x:v>512</x:v>
      </x:c>
      <x:c r="AG22" s="19" t="n">
        <x:v>42</x:v>
      </x:c>
      <x:c r="AH22" s="24"/>
      <x:c r="AI22" s="20" t="str">
        <x:v>off-or-low</x:v>
      </x:c>
      <x:c r="AJ22" s="20" t="str">
        <x:v>20261001T195754Z_57e25698_lm_api</x:v>
      </x:c>
      <x:c r="AK22" s="20" t="str">
        <x:v>results/20261001T195754Z_57e25698_lm_api/manifest.json</x:v>
      </x:c>
      <x:c r="AL22" s="20" t="str">
        <x:v>502125572bed0fe1d3dc679941d1bde0a17a6a6e94f19bcf69e20d8582a492a3</x:v>
      </x:c>
    </x:row>
    <x:row r="23" ht="26" customHeight="1">
      <x:c r="A23" s="20" t="str">
        <x:v>qwen3-coder-next</x:v>
      </x:c>
      <x:c r="B23" s="20" t="str">
        <x:v>LM Studio API DEV</x:v>
      </x:c>
      <x:c r="C23" s="20" t="str">
        <x:v>old_dev</x:v>
      </x:c>
      <x:c r="D23" s="20" t="str">
        <x:v>NOT_RUN_PRIOR_RESOURCE_GUARD</x:v>
      </x:c>
      <x:c r="E23" s="19" t="n">
        <x:v>0</x:v>
      </x:c>
      <x:c r="F23" s="19"/>
      <x:c r="G23" s="22" t="str">
        <x:f>IF(E23=0,"",IF(ISNUMBER(F23),F23/E23,""))</x:f>
      </x:c>
      <x:c r="H23" s="19"/>
      <x:c r="I23" s="19"/>
      <x:c r="J23" s="19"/>
      <x:c r="K23" s="19"/>
      <x:c r="L23" s="19" t="n">
        <x:v>0</x:v>
      </x:c>
      <x:c r="M23" s="19" t="n">
        <x:v>0</x:v>
      </x:c>
      <x:c r="N23" s="19" t="n">
        <x:v>0</x:v>
      </x:c>
      <x:c r="O23" s="24"/>
      <x:c r="P23" s="24"/>
      <x:c r="Q23" s="24"/>
      <x:c r="R23" s="24"/>
      <x:c r="S23" s="24"/>
      <x:c r="T23" s="25"/>
      <x:c r="U23" s="24"/>
      <x:c r="V23" s="25"/>
      <x:c r="W23" s="19"/>
      <x:c r="X23" s="25"/>
      <x:c r="Y23" s="25" t="n">
        <x:v>31.031917572021484</x:v>
      </x:c>
      <x:c r="Z23" s="20" t="str">
        <x:v>Q3_K_S</x:v>
      </x:c>
      <x:c r="AA23" s="20" t="str">
        <x:v>0.35</x:v>
      </x:c>
      <x:c r="AB23" s="20"/>
      <x:c r="AC23" s="19"/>
      <x:c r="AD23" s="19"/>
      <x:c r="AE23" s="19" t="n">
        <x:v>0</x:v>
      </x:c>
      <x:c r="AF23" s="19" t="n">
        <x:v>512</x:v>
      </x:c>
      <x:c r="AG23" s="19" t="n">
        <x:v>42</x:v>
      </x:c>
      <x:c r="AH23" s="24"/>
      <x:c r="AI23" s="20" t="str">
        <x:v>off-or-low</x:v>
      </x:c>
      <x:c r="AJ23" s="20" t="str">
        <x:v>20261001T195754Z_57e25698_lm_api</x:v>
      </x:c>
      <x:c r="AK23" s="20" t="str">
        <x:v>results/20261001T195754Z_57e25698_lm_api/manifest.json</x:v>
      </x:c>
      <x:c r="AL23" s="20" t="str">
        <x:v>502125572bed0fe1d3dc679941d1bde0a17a6a6e94f19bcf69e20d8582a492a3</x:v>
      </x:c>
    </x:row>
    <x:row r="24" ht="26" customHeight="1">
      <x:c r="A24" s="20" t="str">
        <x:v>qwen3.8-27b</x:v>
      </x:c>
      <x:c r="B24" s="20" t="str">
        <x:v>LM Studio API DEV</x:v>
      </x:c>
      <x:c r="C24" s="20" t="str">
        <x:v>custom_dev</x:v>
      </x:c>
      <x:c r="D24" s="20" t="str">
        <x:v>measured</x:v>
      </x:c>
      <x:c r="E24" s="19" t="n">
        <x:v>12</x:v>
      </x:c>
      <x:c r="F24" s="19" t="n">
        <x:v>9</x:v>
      </x:c>
      <x:c r="G24" s="22" t="n">
        <x:f>IF(E24=0,"",IF(ISNUMBER(F24),F24/E24,""))</x:f>
        <x:v>0.75</x:v>
      </x:c>
      <x:c r="H24" s="19" t="n">
        <x:v>0</x:v>
      </x:c>
      <x:c r="I24" s="19" t="n">
        <x:v>5927</x:v>
      </x:c>
      <x:c r="J24" s="19" t="n">
        <x:v>413</x:v>
      </x:c>
      <x:c r="K24" s="19" t="n">
        <x:v>0</x:v>
      </x:c>
      <x:c r="L24" s="19" t="n">
        <x:v>12</x:v>
      </x:c>
      <x:c r="M24" s="19" t="n">
        <x:v>12</x:v>
      </x:c>
      <x:c r="N24" s="19" t="n">
        <x:v>12</x:v>
      </x:c>
      <x:c r="O24" s="24" t="n">
        <x:v>3.021573966666741</x:v>
      </x:c>
      <x:c r="P24" s="24" t="n">
        <x:v>3.0159565000003568</x:v>
      </x:c>
      <x:c r="Q24" s="24" t="n">
        <x:v>3.822321175000434</x:v>
      </x:c>
      <x:c r="R24" s="24" t="n">
        <x:v>0.7527335999993738</x:v>
      </x:c>
      <x:c r="S24" s="24" t="n">
        <x:v>0.7527335999993738</x:v>
      </x:c>
      <x:c r="T24" s="25" t="n">
        <x:v>16.268273118425185</x:v>
      </x:c>
      <x:c r="U24" s="24"/>
      <x:c r="V24" s="25" t="n">
        <x:v>15.775</x:v>
      </x:c>
      <x:c r="W24" s="19" t="n">
        <x:v>15266</x:v>
      </x:c>
      <x:c r="X24" s="25" t="n">
        <x:v>27.302814483642578</x:v>
      </x:c>
      <x:c r="Y24" s="25" t="n">
        <x:v>16.197610154747963</x:v>
      </x:c>
      <x:c r="Z24" s="20" t="str">
        <x:v>Q4_K_M</x:v>
      </x:c>
      <x:c r="AA24" s="20" t="str">
        <x:v>0.75</x:v>
      </x:c>
      <x:c r="AB24" s="20"/>
      <x:c r="AC24" s="19" t="n">
        <x:v>4096</x:v>
      </x:c>
      <x:c r="AD24" s="19" t="n">
        <x:v>1</x:v>
      </x:c>
      <x:c r="AE24" s="19" t="n">
        <x:v>0</x:v>
      </x:c>
      <x:c r="AF24" s="19" t="n">
        <x:v>512</x:v>
      </x:c>
      <x:c r="AG24" s="19" t="n">
        <x:v>42</x:v>
      </x:c>
      <x:c r="AH24" s="24" t="n">
        <x:v>25.816949199999726</x:v>
      </x:c>
      <x:c r="AI24" s="20" t="str">
        <x:v>off-or-low</x:v>
      </x:c>
      <x:c r="AJ24" s="20" t="str">
        <x:v>20261001T200228Z_379d1493_lm_api</x:v>
      </x:c>
      <x:c r="AK24" s="20" t="str">
        <x:v>results/20261001T200228Z_379d1493_lm_api/qwen3.8-27b_raw.jsonl</x:v>
      </x:c>
      <x:c r="AL24" s="20" t="str">
        <x:v>cd481789ab8f5c45d37cff51730739a3a89bf16d6150138a399fbd9f0d0dbb84</x:v>
      </x:c>
    </x:row>
    <x:row r="25" ht="26" customHeight="1">
      <x:c r="A25" s="20" t="str">
        <x:v>gemma-4-26b-a4b-it</x:v>
      </x:c>
      <x:c r="B25" s="20" t="str">
        <x:v>LM Studio API DEV</x:v>
      </x:c>
      <x:c r="C25" s="20" t="str">
        <x:v>custom_dev</x:v>
      </x:c>
      <x:c r="D25" s="20" t="str">
        <x:v>measured</x:v>
      </x:c>
      <x:c r="E25" s="19" t="n">
        <x:v>12</x:v>
      </x:c>
      <x:c r="F25" s="19" t="n">
        <x:v>9</x:v>
      </x:c>
      <x:c r="G25" s="22" t="n">
        <x:f>IF(E25=0,"",IF(ISNUMBER(F25),F25/E25,""))</x:f>
        <x:v>0.75</x:v>
      </x:c>
      <x:c r="H25" s="19" t="n">
        <x:v>0</x:v>
      </x:c>
      <x:c r="I25" s="19" t="n">
        <x:v>6074</x:v>
      </x:c>
      <x:c r="J25" s="19" t="n">
        <x:v>490</x:v>
      </x:c>
      <x:c r="K25" s="19" t="n">
        <x:v>0</x:v>
      </x:c>
      <x:c r="L25" s="19" t="n">
        <x:v>12</x:v>
      </x:c>
      <x:c r="M25" s="19" t="n">
        <x:v>12</x:v>
      </x:c>
      <x:c r="N25" s="19" t="n">
        <x:v>12</x:v>
      </x:c>
      <x:c r="O25" s="24" t="n">
        <x:v>1.745775549999962</x:v>
      </x:c>
      <x:c r="P25" s="24" t="n">
        <x:v>1.7067244500003653</x:v>
      </x:c>
      <x:c r="Q25" s="24" t="n">
        <x:v>2.2382666650004466</x:v>
      </x:c>
      <x:c r="R25" s="24" t="n">
        <x:v>0.6190591499998845</x:v>
      </x:c>
      <x:c r="S25" s="24" t="n">
        <x:v>0.6190591499998845</x:v>
      </x:c>
      <x:c r="T25" s="25" t="n">
        <x:v>42.364687119316564</x:v>
      </x:c>
      <x:c r="U25" s="24"/>
      <x:c r="V25" s="25" t="n">
        <x:v>35.18</x:v>
      </x:c>
      <x:c r="W25" s="19" t="n">
        <x:v>14065</x:v>
      </x:c>
      <x:c r="X25" s="25" t="n">
        <x:v>24.736309051513672</x:v>
      </x:c>
      <x:c r="Y25" s="25" t="n">
        <x:v>15.690822293050587</x:v>
      </x:c>
      <x:c r="Z25" s="20" t="str">
        <x:v>IQ4_NL_XL</x:v>
      </x:c>
      <x:c r="AA25" s="20" t="str">
        <x:v>0.70</x:v>
      </x:c>
      <x:c r="AB25" s="20"/>
      <x:c r="AC25" s="19" t="n">
        <x:v>4096</x:v>
      </x:c>
      <x:c r="AD25" s="19" t="n">
        <x:v>1</x:v>
      </x:c>
      <x:c r="AE25" s="19" t="n">
        <x:v>0</x:v>
      </x:c>
      <x:c r="AF25" s="19" t="n">
        <x:v>512</x:v>
      </x:c>
      <x:c r="AG25" s="19" t="n">
        <x:v>42</x:v>
      </x:c>
      <x:c r="AH25" s="24" t="n">
        <x:v>21.399425900001006</x:v>
      </x:c>
      <x:c r="AI25" s="20" t="str">
        <x:v>off-or-low</x:v>
      </x:c>
      <x:c r="AJ25" s="20" t="str">
        <x:v>20261001T200228Z_379d1493_lm_api</x:v>
      </x:c>
      <x:c r="AK25" s="20" t="str">
        <x:v>results/20261001T200228Z_379d1493_lm_api/gemma-4-26b-a4b-it_raw.jsonl</x:v>
      </x:c>
      <x:c r="AL25" s="20" t="str">
        <x:v>76e3736e1ec4c4fd9faaea4aca44b37e3b10e8829cf65252cc38fb8dc54e23b6</x:v>
      </x:c>
    </x:row>
    <x:row r="26" ht="26" customHeight="1">
      <x:c r="A26" s="20" t="str">
        <x:v>qwen3.5-9b</x:v>
      </x:c>
      <x:c r="B26" s="20" t="str">
        <x:v>Historical CLI DEV</x:v>
      </x:c>
      <x:c r="C26" s="20" t="str">
        <x:v>old_dev</x:v>
      </x:c>
      <x:c r="D26" s="20" t="str">
        <x:v>SAVED</x:v>
      </x:c>
      <x:c r="E26" s="19" t="n">
        <x:v>12</x:v>
      </x:c>
      <x:c r="F26" s="19" t="n">
        <x:v>4</x:v>
      </x:c>
      <x:c r="G26" s="22" t="n">
        <x:f>IF(E26=0,"",IF(ISNUMBER(F26),F26/E26,""))</x:f>
        <x:v>0.3333333333333333</x:v>
      </x:c>
      <x:c r="H26" s="19" t="n">
        <x:v>3</x:v>
      </x:c>
      <x:c r="I26" s="19"/>
      <x:c r="J26" s="19"/>
      <x:c r="K26" s="19"/>
      <x:c r="L26" s="19" t="n">
        <x:v>0</x:v>
      </x:c>
      <x:c r="M26" s="19" t="n">
        <x:v>0</x:v>
      </x:c>
      <x:c r="N26" s="19" t="n">
        <x:v>0</x:v>
      </x:c>
      <x:c r="O26" s="24" t="n">
        <x:v>1.1303371499999837</x:v>
      </x:c>
      <x:c r="P26" s="24" t="n">
        <x:v>1.0561560500000269</x:v>
      </x:c>
      <x:c r="Q26" s="24" t="n">
        <x:v>1.4400403949999825</x:v>
      </x:c>
      <x:c r="R26" s="24"/>
      <x:c r="S26" s="24"/>
      <x:c r="T26" s="25"/>
      <x:c r="U26" s="24"/>
      <x:c r="V26" s="25"/>
      <x:c r="W26" s="19" t="n">
        <x:v>11421</x:v>
      </x:c>
      <x:c r="X26" s="25" t="n">
        <x:v>23.446380615234375</x:v>
      </x:c>
      <x:c r="Y26" s="25" t="n">
        <x:v>10.571967869997025</x:v>
      </x:c>
      <x:c r="Z26" s="20" t="str">
        <x:v>Q8_0</x:v>
      </x:c>
      <x:c r="AA26" s="20" t="str">
        <x:v>max</x:v>
      </x:c>
      <x:c r="AB26" s="20"/>
      <x:c r="AC26" s="19" t="n">
        <x:v>4096</x:v>
      </x:c>
      <x:c r="AD26" s="19" t="n">
        <x:v>1</x:v>
      </x:c>
      <x:c r="AE26" s="19"/>
      <x:c r="AF26" s="19"/>
      <x:c r="AG26" s="19"/>
      <x:c r="AH26" s="24"/>
      <x:c r="AI26" s="20"/>
      <x:c r="AJ26" s="20" t="str">
        <x:v>20261001_171700Z_39c83511_cli</x:v>
      </x:c>
      <x:c r="AK26" s="20" t="str">
        <x:v>results/20261001_171700Z_39c83511_cli/qwen3.5-9b_raw.jsonl</x:v>
      </x:c>
      <x:c r="AL26" s="20" t="str">
        <x:v>999097ad4980d1d89b6d3c3f3c7a6be9820b3bbe98fa10b3afdd76d1a04b47e6</x:v>
      </x:c>
    </x:row>
    <x:row r="27" ht="26" customHeight="1">
      <x:c r="A27" s="20" t="str">
        <x:v>gemma-4-12b-it</x:v>
      </x:c>
      <x:c r="B27" s="20" t="str">
        <x:v>Historical CLI DEV</x:v>
      </x:c>
      <x:c r="C27" s="20" t="str">
        <x:v>old_dev</x:v>
      </x:c>
      <x:c r="D27" s="20" t="str">
        <x:v>EARLY_STOP</x:v>
      </x:c>
      <x:c r="E27" s="19" t="n">
        <x:v>12</x:v>
      </x:c>
      <x:c r="F27" s="19" t="n">
        <x:v>4</x:v>
      </x:c>
      <x:c r="G27" s="22" t="n">
        <x:f>IF(E27=0,"",IF(ISNUMBER(F27),F27/E27,""))</x:f>
        <x:v>0.3333333333333333</x:v>
      </x:c>
      <x:c r="H27" s="19" t="n">
        <x:v>4</x:v>
      </x:c>
      <x:c r="I27" s="19"/>
      <x:c r="J27" s="19"/>
      <x:c r="K27" s="19"/>
      <x:c r="L27" s="19" t="n">
        <x:v>0</x:v>
      </x:c>
      <x:c r="M27" s="19" t="n">
        <x:v>0</x:v>
      </x:c>
      <x:c r="N27" s="19" t="n">
        <x:v>0</x:v>
      </x:c>
      <x:c r="O27" s="24" t="n">
        <x:v>1.377838816666781</x:v>
      </x:c>
      <x:c r="P27" s="24" t="n">
        <x:v>1.1550714000002245</x:v>
      </x:c>
      <x:c r="Q27" s="24" t="n">
        <x:v>2.3571923100000034</x:v>
      </x:c>
      <x:c r="R27" s="24"/>
      <x:c r="S27" s="24"/>
      <x:c r="T27" s="25"/>
      <x:c r="U27" s="24"/>
      <x:c r="V27" s="25"/>
      <x:c r="W27" s="19" t="n">
        <x:v>8599</x:v>
      </x:c>
      <x:c r="X27" s="25" t="n">
        <x:v>19.99095916748047</x:v>
      </x:c>
      <x:c r="Y27" s="25" t="n">
        <x:v>6.495087593793869</x:v>
      </x:c>
      <x:c r="Z27" s="20" t="str">
        <x:v>Q4_K_S</x:v>
      </x:c>
      <x:c r="AA27" s="20" t="str">
        <x:v>max</x:v>
      </x:c>
      <x:c r="AB27" s="20"/>
      <x:c r="AC27" s="19" t="n">
        <x:v>4096</x:v>
      </x:c>
      <x:c r="AD27" s="19" t="n">
        <x:v>1</x:v>
      </x:c>
      <x:c r="AE27" s="19"/>
      <x:c r="AF27" s="19"/>
      <x:c r="AG27" s="19"/>
      <x:c r="AH27" s="24"/>
      <x:c r="AI27" s="20"/>
      <x:c r="AJ27" s="20" t="str">
        <x:v>20261001_171700Z_39c83511_cli</x:v>
      </x:c>
      <x:c r="AK27" s="20" t="str">
        <x:v>results/20261001_171700Z_39c83511_cli/gemma-4-12b-it_raw.jsonl</x:v>
      </x:c>
      <x:c r="AL27" s="20" t="str">
        <x:v>e2b082e1b9537fa8bbe44475a32133966bed9a222309a3025f22acd0e86be342</x:v>
      </x:c>
    </x:row>
    <x:row r="28" ht="26" customHeight="1">
      <x:c r="A28" s="20" t="str">
        <x:v>qwen3.8-27b</x:v>
      </x:c>
      <x:c r="B28" s="20" t="str">
        <x:v>Historical CLI DEV</x:v>
      </x:c>
      <x:c r="C28" s="20" t="str">
        <x:v>old_dev</x:v>
      </x:c>
      <x:c r="D28" s="20" t="str">
        <x:v>SAVED</x:v>
      </x:c>
      <x:c r="E28" s="19" t="n">
        <x:v>12</x:v>
      </x:c>
      <x:c r="F28" s="19" t="n">
        <x:v>9</x:v>
      </x:c>
      <x:c r="G28" s="22" t="n">
        <x:f>IF(E28=0,"",IF(ISNUMBER(F28),F28/E28,""))</x:f>
        <x:v>0.75</x:v>
      </x:c>
      <x:c r="H28" s="19" t="n">
        <x:v>0</x:v>
      </x:c>
      <x:c r="I28" s="19"/>
      <x:c r="J28" s="19"/>
      <x:c r="K28" s="19"/>
      <x:c r="L28" s="19" t="n">
        <x:v>0</x:v>
      </x:c>
      <x:c r="M28" s="19" t="n">
        <x:v>0</x:v>
      </x:c>
      <x:c r="N28" s="19" t="n">
        <x:v>0</x:v>
      </x:c>
      <x:c r="O28" s="24" t="n">
        <x:v>3.75725139166669</x:v>
      </x:c>
      <x:c r="P28" s="24" t="n">
        <x:v>3.1221266499999274</x:v>
      </x:c>
      <x:c r="Q28" s="24" t="n">
        <x:v>6.046302595000043</x:v>
      </x:c>
      <x:c r="R28" s="24"/>
      <x:c r="S28" s="24"/>
      <x:c r="T28" s="25"/>
      <x:c r="U28" s="24"/>
      <x:c r="V28" s="25"/>
      <x:c r="W28" s="19" t="n">
        <x:v>15091</x:v>
      </x:c>
      <x:c r="X28" s="25" t="n">
        <x:v>28.0845947265625</x:v>
      </x:c>
      <x:c r="Y28" s="25" t="n">
        <x:v>16.197610154747963</x:v>
      </x:c>
      <x:c r="Z28" s="20" t="str">
        <x:v>Q4_K_M</x:v>
      </x:c>
      <x:c r="AA28" s="20" t="str">
        <x:v>0.75</x:v>
      </x:c>
      <x:c r="AB28" s="20"/>
      <x:c r="AC28" s="19" t="n">
        <x:v>4096</x:v>
      </x:c>
      <x:c r="AD28" s="19" t="n">
        <x:v>1</x:v>
      </x:c>
      <x:c r="AE28" s="19"/>
      <x:c r="AF28" s="19"/>
      <x:c r="AG28" s="19"/>
      <x:c r="AH28" s="24"/>
      <x:c r="AI28" s="20"/>
      <x:c r="AJ28" s="20" t="str">
        <x:v>20261001_171700Z_39c83511_cli</x:v>
      </x:c>
      <x:c r="AK28" s="20" t="str">
        <x:v>results/20261001_171700Z_39c83511_cli/qwen3.8-27b_raw.jsonl</x:v>
      </x:c>
      <x:c r="AL28" s="20" t="str">
        <x:v>bae509ca65c929c0cede3a34519b43247bb7ccd524d0eea3b1b9c5ca2e691029</x:v>
      </x:c>
    </x:row>
    <x:row r="29" ht="26" customHeight="1">
      <x:c r="A29" s="20" t="str">
        <x:v>qwen3.5-35b-a3b</x:v>
      </x:c>
      <x:c r="B29" s="20" t="str">
        <x:v>Historical CLI DEV</x:v>
      </x:c>
      <x:c r="C29" s="20" t="str">
        <x:v>old_dev</x:v>
      </x:c>
      <x:c r="D29" s="20" t="str">
        <x:v>SAVED</x:v>
      </x:c>
      <x:c r="E29" s="19" t="n">
        <x:v>12</x:v>
      </x:c>
      <x:c r="F29" s="19" t="n">
        <x:v>7</x:v>
      </x:c>
      <x:c r="G29" s="22" t="n">
        <x:f>IF(E29=0,"",IF(ISNUMBER(F29),F29/E29,""))</x:f>
        <x:v>0.5833333333333334</x:v>
      </x:c>
      <x:c r="H29" s="19" t="n">
        <x:v>0</x:v>
      </x:c>
      <x:c r="I29" s="19"/>
      <x:c r="J29" s="19"/>
      <x:c r="K29" s="19"/>
      <x:c r="L29" s="19" t="n">
        <x:v>0</x:v>
      </x:c>
      <x:c r="M29" s="19" t="n">
        <x:v>0</x:v>
      </x:c>
      <x:c r="N29" s="19" t="n">
        <x:v>0</x:v>
      </x:c>
      <x:c r="O29" s="24" t="n">
        <x:v>2.68146010833334</x:v>
      </x:c>
      <x:c r="P29" s="24" t="n">
        <x:v>2.1182916000000205</x:v>
      </x:c>
      <x:c r="Q29" s="24" t="n">
        <x:v>5.825602805000081</x:v>
      </x:c>
      <x:c r="R29" s="24"/>
      <x:c r="S29" s="24"/>
      <x:c r="T29" s="25"/>
      <x:c r="U29" s="24"/>
      <x:c r="V29" s="25"/>
      <x:c r="W29" s="19" t="n">
        <x:v>13967</x:v>
      </x:c>
      <x:c r="X29" s="25" t="n">
        <x:v>30.110130310058594</x:v>
      </x:c>
      <x:c r="Y29" s="25" t="n">
        <x:v>20.481590742245317</x:v>
      </x:c>
      <x:c r="Z29" s="20" t="str">
        <x:v>Q4_K_L</x:v>
      </x:c>
      <x:c r="AA29" s="20" t="str">
        <x:v>0.55</x:v>
      </x:c>
      <x:c r="AB29" s="20"/>
      <x:c r="AC29" s="19" t="n">
        <x:v>4096</x:v>
      </x:c>
      <x:c r="AD29" s="19" t="n">
        <x:v>1</x:v>
      </x:c>
      <x:c r="AE29" s="19"/>
      <x:c r="AF29" s="19"/>
      <x:c r="AG29" s="19"/>
      <x:c r="AH29" s="24"/>
      <x:c r="AI29" s="20"/>
      <x:c r="AJ29" s="20" t="str">
        <x:v>20261001_171700Z_39c83511_cli</x:v>
      </x:c>
      <x:c r="AK29" s="20" t="str">
        <x:v>results/20261001_171700Z_39c83511_cli/qwen3.5-35b-a3b_raw.jsonl</x:v>
      </x:c>
      <x:c r="AL29" s="20" t="str">
        <x:v>0c6dd8ea23ff604bc04ff11204129e7668c9d26aa084e0f12a9540d7e9a781fb</x:v>
      </x:c>
    </x:row>
    <x:row r="30" ht="26" customHeight="1">
      <x:c r="A30" s="20" t="str">
        <x:v>qwen3.5-9b</x:v>
      </x:c>
      <x:c r="B30" s="20" t="str">
        <x:v>Historical CLI DEV</x:v>
      </x:c>
      <x:c r="C30" s="20" t="str">
        <x:v>old_dev</x:v>
      </x:c>
      <x:c r="D30" s="20" t="str">
        <x:v>EARLY_STOP</x:v>
      </x:c>
      <x:c r="E30" s="19" t="n">
        <x:v>12</x:v>
      </x:c>
      <x:c r="F30" s="19" t="n">
        <x:v>4</x:v>
      </x:c>
      <x:c r="G30" s="22" t="n">
        <x:f>IF(E30=0,"",IF(ISNUMBER(F30),F30/E30,""))</x:f>
        <x:v>0.3333333333333333</x:v>
      </x:c>
      <x:c r="H30" s="19" t="n">
        <x:v>4</x:v>
      </x:c>
      <x:c r="I30" s="19" t="n">
        <x:v>5588</x:v>
      </x:c>
      <x:c r="J30" s="19" t="n">
        <x:v>348</x:v>
      </x:c>
      <x:c r="K30" s="19"/>
      <x:c r="L30" s="19" t="n">
        <x:v>12</x:v>
      </x:c>
      <x:c r="M30" s="19" t="n">
        <x:v>12</x:v>
      </x:c>
      <x:c r="N30" s="19" t="n">
        <x:v>0</x:v>
      </x:c>
      <x:c r="O30" s="24" t="n">
        <x:v>1.0760329166666907</x:v>
      </x:c>
      <x:c r="P30" s="24" t="n">
        <x:v>1.0526063500001328</x:v>
      </x:c>
      <x:c r="Q30" s="24" t="n">
        <x:v>1.350949879999962</x:v>
      </x:c>
      <x:c r="R30" s="24"/>
      <x:c r="S30" s="24"/>
      <x:c r="T30" s="25"/>
      <x:c r="U30" s="24" t="n">
        <x:v>0.101</x:v>
      </x:c>
      <x:c r="V30" s="25" t="n">
        <x:v>42.94</x:v>
      </x:c>
      <x:c r="W30" s="19" t="n">
        <x:v>11421</x:v>
      </x:c>
      <x:c r="X30" s="25" t="n">
        <x:v>21.384536743164062</x:v>
      </x:c>
      <x:c r="Y30" s="25" t="n">
        <x:v>10.571967869997025</x:v>
      </x:c>
      <x:c r="Z30" s="20" t="str">
        <x:v>Q8_0</x:v>
      </x:c>
      <x:c r="AA30" s="20" t="str">
        <x:v>max</x:v>
      </x:c>
      <x:c r="AB30" s="20"/>
      <x:c r="AC30" s="19" t="n">
        <x:v>4096</x:v>
      </x:c>
      <x:c r="AD30" s="19" t="n">
        <x:v>1</x:v>
      </x:c>
      <x:c r="AE30" s="19"/>
      <x:c r="AF30" s="19"/>
      <x:c r="AG30" s="19"/>
      <x:c r="AH30" s="24"/>
      <x:c r="AI30" s="20"/>
      <x:c r="AJ30" s="20" t="str">
        <x:v>20261001_172204Z_9a16b3ba_cli</x:v>
      </x:c>
      <x:c r="AK30" s="20" t="str">
        <x:v>results/20261001_172204Z_9a16b3ba_cli/qwen3.5-9b_raw.jsonl</x:v>
      </x:c>
      <x:c r="AL30" s="20" t="str">
        <x:v>9de841f2a0f01b992489b6e9ae6df42504d5ad7588c71bd852592f2b184c9196</x:v>
      </x:c>
    </x:row>
    <x:row r="31" ht="26" customHeight="1">
      <x:c r="A31" s="20" t="str">
        <x:v>gemma-4-12b-it</x:v>
      </x:c>
      <x:c r="B31" s="20" t="str">
        <x:v>Historical CLI DEV</x:v>
      </x:c>
      <x:c r="C31" s="20" t="str">
        <x:v>old_dev</x:v>
      </x:c>
      <x:c r="D31" s="20" t="str">
        <x:v>EARLY_STOP</x:v>
      </x:c>
      <x:c r="E31" s="19" t="n">
        <x:v>12</x:v>
      </x:c>
      <x:c r="F31" s="19" t="n">
        <x:v>4</x:v>
      </x:c>
      <x:c r="G31" s="22" t="n">
        <x:f>IF(E31=0,"",IF(ISNUMBER(F31),F31/E31,""))</x:f>
        <x:v>0.3333333333333333</x:v>
      </x:c>
      <x:c r="H31" s="19" t="n">
        <x:v>4</x:v>
      </x:c>
      <x:c r="I31" s="19" t="n">
        <x:v>5764</x:v>
      </x:c>
      <x:c r="J31" s="19" t="n">
        <x:v>406</x:v>
      </x:c>
      <x:c r="K31" s="19"/>
      <x:c r="L31" s="19" t="n">
        <x:v>12</x:v>
      </x:c>
      <x:c r="M31" s="19" t="n">
        <x:v>12</x:v>
      </x:c>
      <x:c r="N31" s="19" t="n">
        <x:v>0</x:v>
      </x:c>
      <x:c r="O31" s="24" t="n">
        <x:v>1.2025450583332333</x:v>
      </x:c>
      <x:c r="P31" s="24" t="n">
        <x:v>1.1963603999997758</x:v>
      </x:c>
      <x:c r="Q31" s="24" t="n">
        <x:v>1.3826371500001187</x:v>
      </x:c>
      <x:c r="R31" s="24"/>
      <x:c r="S31" s="24"/>
      <x:c r="T31" s="25"/>
      <x:c r="U31" s="24" t="n">
        <x:v>0.192</x:v>
      </x:c>
      <x:c r="V31" s="25" t="n">
        <x:v>47.665000000000006</x:v>
      </x:c>
      <x:c r="W31" s="19" t="n">
        <x:v>8593</x:v>
      </x:c>
      <x:c r="X31" s="25" t="n">
        <x:v>18.24325180053711</x:v>
      </x:c>
      <x:c r="Y31" s="25" t="n">
        <x:v>6.495087593793869</x:v>
      </x:c>
      <x:c r="Z31" s="20" t="str">
        <x:v>Q4_K_S</x:v>
      </x:c>
      <x:c r="AA31" s="20" t="str">
        <x:v>max</x:v>
      </x:c>
      <x:c r="AB31" s="20"/>
      <x:c r="AC31" s="19" t="n">
        <x:v>4096</x:v>
      </x:c>
      <x:c r="AD31" s="19" t="n">
        <x:v>1</x:v>
      </x:c>
      <x:c r="AE31" s="19"/>
      <x:c r="AF31" s="19"/>
      <x:c r="AG31" s="19"/>
      <x:c r="AH31" s="24"/>
      <x:c r="AI31" s="20"/>
      <x:c r="AJ31" s="20" t="str">
        <x:v>20261001_172204Z_9a16b3ba_cli</x:v>
      </x:c>
      <x:c r="AK31" s="20" t="str">
        <x:v>results/20261001_172204Z_9a16b3ba_cli/gemma-4-12b-it_raw.jsonl</x:v>
      </x:c>
      <x:c r="AL31" s="20" t="str">
        <x:v>7005ef9710235721cae969813e60d1f0570927efe717628d0454a563a570ff1c</x:v>
      </x:c>
    </x:row>
    <x:row r="32" ht="26" customHeight="1">
      <x:c r="A32" s="20" t="str">
        <x:v>qwen3.8-27b</x:v>
      </x:c>
      <x:c r="B32" s="20" t="str">
        <x:v>Historical CLI DEV</x:v>
      </x:c>
      <x:c r="C32" s="20" t="str">
        <x:v>old_dev</x:v>
      </x:c>
      <x:c r="D32" s="20" t="str">
        <x:v>SAVED</x:v>
      </x:c>
      <x:c r="E32" s="19" t="n">
        <x:v>36</x:v>
      </x:c>
      <x:c r="F32" s="19" t="n">
        <x:v>25</x:v>
      </x:c>
      <x:c r="G32" s="22" t="n">
        <x:f>IF(E32=0,"",IF(ISNUMBER(F32),F32/E32,""))</x:f>
        <x:v>0.6944444444444444</x:v>
      </x:c>
      <x:c r="H32" s="19" t="n">
        <x:v>0</x:v>
      </x:c>
      <x:c r="I32" s="19" t="n">
        <x:v>16486</x:v>
      </x:c>
      <x:c r="J32" s="19" t="n">
        <x:v>1100</x:v>
      </x:c>
      <x:c r="K32" s="19"/>
      <x:c r="L32" s="19" t="n">
        <x:v>36</x:v>
      </x:c>
      <x:c r="M32" s="19" t="n">
        <x:v>36</x:v>
      </x:c>
      <x:c r="N32" s="19" t="n">
        <x:v>0</x:v>
      </x:c>
      <x:c r="O32" s="24" t="n">
        <x:v>3.20453040833335</x:v>
      </x:c>
      <x:c r="P32" s="24" t="n">
        <x:v>3.041815349999979</x:v>
      </x:c>
      <x:c r="Q32" s="24" t="n">
        <x:v>4.450264724999897</x:v>
      </x:c>
      <x:c r="R32" s="24"/>
      <x:c r="S32" s="24"/>
      <x:c r="T32" s="25"/>
      <x:c r="U32" s="24" t="n">
        <x:v>0.7144999999999999</x:v>
      </x:c>
      <x:c r="V32" s="25" t="n">
        <x:v>14.149999999999999</x:v>
      </x:c>
      <x:c r="W32" s="19" t="n">
        <x:v>15095</x:v>
      </x:c>
      <x:c r="X32" s="25" t="n">
        <x:v>27.758312225341797</x:v>
      </x:c>
      <x:c r="Y32" s="25" t="n">
        <x:v>16.197610154747963</x:v>
      </x:c>
      <x:c r="Z32" s="20" t="str">
        <x:v>Q4_K_M</x:v>
      </x:c>
      <x:c r="AA32" s="20" t="str">
        <x:v>0.75</x:v>
      </x:c>
      <x:c r="AB32" s="20"/>
      <x:c r="AC32" s="19" t="n">
        <x:v>4096</x:v>
      </x:c>
      <x:c r="AD32" s="19" t="n">
        <x:v>1</x:v>
      </x:c>
      <x:c r="AE32" s="19"/>
      <x:c r="AF32" s="19"/>
      <x:c r="AG32" s="19"/>
      <x:c r="AH32" s="24"/>
      <x:c r="AI32" s="20"/>
      <x:c r="AJ32" s="20" t="str">
        <x:v>20261001_172204Z_9a16b3ba_cli</x:v>
      </x:c>
      <x:c r="AK32" s="20" t="str">
        <x:v>results/20261001_172204Z_9a16b3ba_cli/qwen3.8-27b_raw.jsonl</x:v>
      </x:c>
      <x:c r="AL32" s="20" t="str">
        <x:v>78de4dd267e5aae8b57cfe4fdb8f48fe630697d5142ef16c48fd29b282acefc6</x:v>
      </x:c>
    </x:row>
    <x:row r="33" ht="26" customHeight="1">
      <x:c r="A33" s="20" t="str">
        <x:v>qwen3.5-35b-a3b</x:v>
      </x:c>
      <x:c r="B33" s="20" t="str">
        <x:v>Historical CLI DEV</x:v>
      </x:c>
      <x:c r="C33" s="20" t="str">
        <x:v>old_dev</x:v>
      </x:c>
      <x:c r="D33" s="20" t="str">
        <x:v>SAVED</x:v>
      </x:c>
      <x:c r="E33" s="19" t="n">
        <x:v>36</x:v>
      </x:c>
      <x:c r="F33" s="19" t="n">
        <x:v>19</x:v>
      </x:c>
      <x:c r="G33" s="22" t="n">
        <x:f>IF(E33=0,"",IF(ISNUMBER(F33),F33/E33,""))</x:f>
        <x:v>0.5277777777777778</x:v>
      </x:c>
      <x:c r="H33" s="19" t="n">
        <x:v>0</x:v>
      </x:c>
      <x:c r="I33" s="19" t="n">
        <x:v>16486</x:v>
      </x:c>
      <x:c r="J33" s="19" t="n">
        <x:v>1248</x:v>
      </x:c>
      <x:c r="K33" s="19"/>
      <x:c r="L33" s="19" t="n">
        <x:v>36</x:v>
      </x:c>
      <x:c r="M33" s="19" t="n">
        <x:v>36</x:v>
      </x:c>
      <x:c r="N33" s="19" t="n">
        <x:v>0</x:v>
      </x:c>
      <x:c r="O33" s="24" t="n">
        <x:v>2.1663644999999985</x:v>
      </x:c>
      <x:c r="P33" s="24" t="n">
        <x:v>1.992164799999955</x:v>
      </x:c>
      <x:c r="Q33" s="24" t="n">
        <x:v>2.776555124999959</x:v>
      </x:c>
      <x:c r="R33" s="24"/>
      <x:c r="S33" s="24"/>
      <x:c r="T33" s="25"/>
      <x:c r="U33" s="24" t="n">
        <x:v>0.628</x:v>
      </x:c>
      <x:c r="V33" s="25" t="n">
        <x:v>28.755000000000003</x:v>
      </x:c>
      <x:c r="W33" s="19" t="n">
        <x:v>14187</x:v>
      </x:c>
      <x:c r="X33" s="25" t="n">
        <x:v>29.794475555419922</x:v>
      </x:c>
      <x:c r="Y33" s="25" t="n">
        <x:v>20.481590742245317</x:v>
      </x:c>
      <x:c r="Z33" s="20" t="str">
        <x:v>Q4_K_L</x:v>
      </x:c>
      <x:c r="AA33" s="20" t="str">
        <x:v>0.55</x:v>
      </x:c>
      <x:c r="AB33" s="20"/>
      <x:c r="AC33" s="19" t="n">
        <x:v>4096</x:v>
      </x:c>
      <x:c r="AD33" s="19" t="n">
        <x:v>1</x:v>
      </x:c>
      <x:c r="AE33" s="19"/>
      <x:c r="AF33" s="19"/>
      <x:c r="AG33" s="19"/>
      <x:c r="AH33" s="24"/>
      <x:c r="AI33" s="20"/>
      <x:c r="AJ33" s="20" t="str">
        <x:v>20261001_172204Z_9a16b3ba_cli</x:v>
      </x:c>
      <x:c r="AK33" s="20" t="str">
        <x:v>results/20261001_172204Z_9a16b3ba_cli/qwen3.5-35b-a3b_raw.jsonl</x:v>
      </x:c>
      <x:c r="AL33" s="20" t="str">
        <x:v>e11b83d4d546a50fa01926e974bc1df2c681e34c1d6372670c13cca35f77388d</x:v>
      </x:c>
    </x:row>
    <x:row r="34" ht="26" customHeight="1">
      <x:c r="A34" s="20" t="str">
        <x:v>gpt-oss-20b</x:v>
      </x:c>
      <x:c r="B34" s="20" t="str">
        <x:v>Historical CLI DEV</x:v>
      </x:c>
      <x:c r="C34" s="20" t="str">
        <x:v>old_dev</x:v>
      </x:c>
      <x:c r="D34" s="20" t="str">
        <x:v>EARLY_STOP</x:v>
      </x:c>
      <x:c r="E34" s="19" t="n">
        <x:v>6</x:v>
      </x:c>
      <x:c r="F34" s="19" t="n">
        <x:v>0</x:v>
      </x:c>
      <x:c r="G34" s="22" t="n">
        <x:f>IF(E34=0,"",IF(ISNUMBER(F34),F34/E34,""))</x:f>
        <x:v>0</x:v>
      </x:c>
      <x:c r="H34" s="19" t="n">
        <x:v>6</x:v>
      </x:c>
      <x:c r="I34" s="19" t="n">
        <x:v>2983</x:v>
      </x:c>
      <x:c r="J34" s="19" t="n">
        <x:v>2469</x:v>
      </x:c>
      <x:c r="K34" s="19"/>
      <x:c r="L34" s="19" t="n">
        <x:v>6</x:v>
      </x:c>
      <x:c r="M34" s="19" t="n">
        <x:v>6</x:v>
      </x:c>
      <x:c r="N34" s="19" t="n">
        <x:v>0</x:v>
      </x:c>
      <x:c r="O34" s="24" t="n">
        <x:v>4.428184316666678</x:v>
      </x:c>
      <x:c r="P34" s="24" t="n">
        <x:v>4.112187400000039</x:v>
      </x:c>
      <x:c r="Q34" s="24" t="n">
        <x:v>6.884399224999697</x:v>
      </x:c>
      <x:c r="R34" s="24"/>
      <x:c r="S34" s="24"/>
      <x:c r="T34" s="25"/>
      <x:c r="U34" s="24" t="n">
        <x:v>0.069</x:v>
      </x:c>
      <x:c r="V34" s="25" t="n">
        <x:v>106.69</x:v>
      </x:c>
      <x:c r="W34" s="19" t="n">
        <x:v>12453</x:v>
      </x:c>
      <x:c r="X34" s="25" t="n">
        <x:v>24.01510238647461</x:v>
      </x:c>
      <x:c r="Y34" s="25" t="n">
        <x:v>11.277914802543819</x:v>
      </x:c>
      <x:c r="Z34" s="20" t="str">
        <x:v>Q8_0</x:v>
      </x:c>
      <x:c r="AA34" s="20" t="str">
        <x:v>max</x:v>
      </x:c>
      <x:c r="AB34" s="20"/>
      <x:c r="AC34" s="19" t="n">
        <x:v>4096</x:v>
      </x:c>
      <x:c r="AD34" s="19" t="n">
        <x:v>1</x:v>
      </x:c>
      <x:c r="AE34" s="19"/>
      <x:c r="AF34" s="19"/>
      <x:c r="AG34" s="19"/>
      <x:c r="AH34" s="24"/>
      <x:c r="AI34" s="20"/>
      <x:c r="AJ34" s="20" t="str">
        <x:v>20261001_172853Z_ede0f9c9_cli</x:v>
      </x:c>
      <x:c r="AK34" s="20" t="str">
        <x:v>results/20261001_172853Z_ede0f9c9_cli/gpt-oss-20b_raw.jsonl</x:v>
      </x:c>
      <x:c r="AL34" s="20" t="str">
        <x:v>9469d5239bab8dc7bb647faaf45de8eeeccacc8c4ac53be024d6824f79a7dd60</x:v>
      </x:c>
    </x:row>
    <x:row r="35" ht="26" customHeight="1">
      <x:c r="A35" s="20" t="str">
        <x:v>gpt-oss-20b</x:v>
      </x:c>
      <x:c r="B35" s="20" t="str">
        <x:v>Historical CLI DEV</x:v>
      </x:c>
      <x:c r="C35" s="20" t="str">
        <x:v>old_dev</x:v>
      </x:c>
      <x:c r="D35" s="20" t="str">
        <x:v>SAVED</x:v>
      </x:c>
      <x:c r="E35" s="19" t="n">
        <x:v>36</x:v>
      </x:c>
      <x:c r="F35" s="19" t="n">
        <x:v>28</x:v>
      </x:c>
      <x:c r="G35" s="22" t="n">
        <x:f>IF(E35=0,"",IF(ISNUMBER(F35),F35/E35,""))</x:f>
        <x:v>0.7777777777777778</x:v>
      </x:c>
      <x:c r="H35" s="19" t="n">
        <x:v>3</x:v>
      </x:c>
      <x:c r="I35" s="19" t="n">
        <x:v>16004</x:v>
      </x:c>
      <x:c r="J35" s="19" t="n">
        <x:v>14529</x:v>
      </x:c>
      <x:c r="K35" s="19"/>
      <x:c r="L35" s="19" t="n">
        <x:v>33</x:v>
      </x:c>
      <x:c r="M35" s="19" t="n">
        <x:v>33</x:v>
      </x:c>
      <x:c r="N35" s="19" t="n">
        <x:v>0</x:v>
      </x:c>
      <x:c r="O35" s="24" t="n">
        <x:v>4.3687134888888925</x:v>
      </x:c>
      <x:c r="P35" s="24" t="n">
        <x:v>3.6043354499997804</x:v>
      </x:c>
      <x:c r="Q35" s="24" t="n">
        <x:v>8.53085677499962</x:v>
      </x:c>
      <x:c r="R35" s="24"/>
      <x:c r="S35" s="24"/>
      <x:c r="T35" s="25"/>
      <x:c r="U35" s="24" t="n">
        <x:v>0.072</x:v>
      </x:c>
      <x:c r="V35" s="25" t="n">
        <x:v>106.2</x:v>
      </x:c>
      <x:c r="W35" s="19" t="n">
        <x:v>12478</x:v>
      </x:c>
      <x:c r="X35" s="25" t="n">
        <x:v>24.047252655029297</x:v>
      </x:c>
      <x:c r="Y35" s="25" t="n">
        <x:v>11.277914802543819</x:v>
      </x:c>
      <x:c r="Z35" s="20" t="str">
        <x:v>Q8_0</x:v>
      </x:c>
      <x:c r="AA35" s="20" t="str">
        <x:v>max</x:v>
      </x:c>
      <x:c r="AB35" s="20"/>
      <x:c r="AC35" s="19" t="n">
        <x:v>4096</x:v>
      </x:c>
      <x:c r="AD35" s="19" t="n">
        <x:v>1</x:v>
      </x:c>
      <x:c r="AE35" s="19"/>
      <x:c r="AF35" s="19"/>
      <x:c r="AG35" s="19"/>
      <x:c r="AH35" s="24"/>
      <x:c r="AI35" s="20"/>
      <x:c r="AJ35" s="20" t="str">
        <x:v>20261001_173130Z_dc97b1d6_cli</x:v>
      </x:c>
      <x:c r="AK35" s="20" t="str">
        <x:v>results/20261001_173130Z_dc97b1d6_cli/gpt-oss-20b_raw.jsonl</x:v>
      </x:c>
      <x:c r="AL35" s="20" t="str">
        <x:v>77ecea3be9324a154e7b62ef51dc29289e1c51efa8fc6133feeffb8e86ec390b</x:v>
      </x:c>
    </x:row>
    <x:row r="36" ht="26" customHeight="1">
      <x:c r="A36" s="20" t="str">
        <x:v>gpt-oss-20b</x:v>
      </x:c>
      <x:c r="B36" s="20" t="str">
        <x:v>Historical CLI DEV</x:v>
      </x:c>
      <x:c r="C36" s="20" t="str">
        <x:v>custom_dev</x:v>
      </x:c>
      <x:c r="D36" s="20" t="str">
        <x:v>SAVED</x:v>
      </x:c>
      <x:c r="E36" s="19" t="n">
        <x:v>12</x:v>
      </x:c>
      <x:c r="F36" s="19" t="n">
        <x:v>6</x:v>
      </x:c>
      <x:c r="G36" s="22" t="n">
        <x:f>IF(E36=0,"",IF(ISNUMBER(F36),F36/E36,""))</x:f>
        <x:v>0.5</x:v>
      </x:c>
      <x:c r="H36" s="19" t="n">
        <x:v>2</x:v>
      </x:c>
      <x:c r="I36" s="19" t="n">
        <x:v>5282</x:v>
      </x:c>
      <x:c r="J36" s="19" t="n">
        <x:v>1784</x:v>
      </x:c>
      <x:c r="K36" s="19"/>
      <x:c r="L36" s="19" t="n">
        <x:v>10</x:v>
      </x:c>
      <x:c r="M36" s="19" t="n">
        <x:v>10</x:v>
      </x:c>
      <x:c r="N36" s="19" t="n">
        <x:v>0</x:v>
      </x:c>
      <x:c r="O36" s="24" t="n">
        <x:v>2.1251368583333865</x:v>
      </x:c>
      <x:c r="P36" s="24" t="n">
        <x:v>2.168192900000122</x:v>
      </x:c>
      <x:c r="Q36" s="24" t="n">
        <x:v>2.9067513700002108</x:v>
      </x:c>
      <x:c r="R36" s="24"/>
      <x:c r="S36" s="24"/>
      <x:c r="T36" s="25"/>
      <x:c r="U36" s="24" t="n">
        <x:v>0.0785</x:v>
      </x:c>
      <x:c r="V36" s="25" t="n">
        <x:v>105.86</x:v>
      </x:c>
      <x:c r="W36" s="19" t="n">
        <x:v>12405</x:v>
      </x:c>
      <x:c r="X36" s="25" t="n">
        <x:v>24.08212661743164</x:v>
      </x:c>
      <x:c r="Y36" s="25" t="n">
        <x:v>11.277914802543819</x:v>
      </x:c>
      <x:c r="Z36" s="20" t="str">
        <x:v>Q8_0</x:v>
      </x:c>
      <x:c r="AA36" s="20" t="str">
        <x:v>max</x:v>
      </x:c>
      <x:c r="AB36" s="20"/>
      <x:c r="AC36" s="19" t="n">
        <x:v>4096</x:v>
      </x:c>
      <x:c r="AD36" s="19" t="n">
        <x:v>1</x:v>
      </x:c>
      <x:c r="AE36" s="19"/>
      <x:c r="AF36" s="19"/>
      <x:c r="AG36" s="19"/>
      <x:c r="AH36" s="24"/>
      <x:c r="AI36" s="20"/>
      <x:c r="AJ36" s="20" t="str">
        <x:v>20261001_174226Z_192df863_cli</x:v>
      </x:c>
      <x:c r="AK36" s="20" t="str">
        <x:v>results/20261001_174226Z_192df863_cli/gpt-oss-20b_raw.jsonl</x:v>
      </x:c>
      <x:c r="AL36" s="20" t="str">
        <x:v>62d6ff8817ec8656471f149d4786c53228028b5a40bdcdd05d15b5d872ee597f</x:v>
      </x:c>
    </x:row>
    <x:row r="37" ht="26" customHeight="1">
      <x:c r="A37" s="20" t="str">
        <x:v>minicpm5-1b</x:v>
      </x:c>
      <x:c r="B37" s="20" t="str">
        <x:v>Historical CLI DEV</x:v>
      </x:c>
      <x:c r="C37" s="20" t="str">
        <x:v>old_dev</x:v>
      </x:c>
      <x:c r="D37" s="20" t="str">
        <x:v>EARLY_STOP</x:v>
      </x:c>
      <x:c r="E37" s="19" t="n">
        <x:v>7</x:v>
      </x:c>
      <x:c r="F37" s="19" t="n">
        <x:v>0</x:v>
      </x:c>
      <x:c r="G37" s="22" t="n">
        <x:f>IF(E37=0,"",IF(ISNUMBER(F37),F37/E37,""))</x:f>
        <x:v>0</x:v>
      </x:c>
      <x:c r="H37" s="19" t="n">
        <x:v>4</x:v>
      </x:c>
      <x:c r="I37" s="19" t="n">
        <x:v>3195</x:v>
      </x:c>
      <x:c r="J37" s="19" t="n">
        <x:v>315</x:v>
      </x:c>
      <x:c r="K37" s="19"/>
      <x:c r="L37" s="19" t="n">
        <x:v>7</x:v>
      </x:c>
      <x:c r="M37" s="19" t="n">
        <x:v>7</x:v>
      </x:c>
      <x:c r="N37" s="19" t="n">
        <x:v>0</x:v>
      </x:c>
      <x:c r="O37" s="24" t="n">
        <x:v>0.4723459285714853</x:v>
      </x:c>
      <x:c r="P37" s="24" t="n">
        <x:v>0.4055596999996851</x:v>
      </x:c>
      <x:c r="Q37" s="24" t="n">
        <x:v>0.7239425700001445</x:v>
      </x:c>
      <x:c r="R37" s="24"/>
      <x:c r="S37" s="24"/>
      <x:c r="T37" s="25"/>
      <x:c r="U37" s="24" t="n">
        <x:v>0.011</x:v>
      </x:c>
      <x:c r="V37" s="25" t="n">
        <x:v>249.78</x:v>
      </x:c>
      <x:c r="W37" s="19" t="n">
        <x:v>2241</x:v>
      </x:c>
      <x:c r="X37" s="25" t="n">
        <x:v>12.56277084350586</x:v>
      </x:c>
      <x:c r="Y37" s="25" t="n">
        <x:v>1.0743077993392944</x:v>
      </x:c>
      <x:c r="Z37" s="20" t="str">
        <x:v>Q8_0</x:v>
      </x:c>
      <x:c r="AA37" s="20" t="str">
        <x:v>max</x:v>
      </x:c>
      <x:c r="AB37" s="20"/>
      <x:c r="AC37" s="19" t="n">
        <x:v>4096</x:v>
      </x:c>
      <x:c r="AD37" s="19" t="n">
        <x:v>1</x:v>
      </x:c>
      <x:c r="AE37" s="19"/>
      <x:c r="AF37" s="19"/>
      <x:c r="AG37" s="19"/>
      <x:c r="AH37" s="24"/>
      <x:c r="AI37" s="20"/>
      <x:c r="AJ37" s="20" t="str">
        <x:v>20261001_180022Z_4c3f0d40_cli</x:v>
      </x:c>
      <x:c r="AK37" s="20" t="str">
        <x:v>results/20261001_180022Z_4c3f0d40_cli/minicpm5-1b_raw.jsonl</x:v>
      </x:c>
      <x:c r="AL37" s="20" t="str">
        <x:v>a18f016f1662080cee87b80bff6f3dc37187693ace17376798829144da6e312c</x:v>
      </x:c>
    </x:row>
    <x:row r="38" ht="26" customHeight="1">
      <x:c r="A38" s="20" t="str">
        <x:v>webworld-8b-i1</x:v>
      </x:c>
      <x:c r="B38" s="20" t="str">
        <x:v>Historical CLI DEV</x:v>
      </x:c>
      <x:c r="C38" s="20" t="str">
        <x:v>old_dev</x:v>
      </x:c>
      <x:c r="D38" s="20" t="str">
        <x:v>EARLY_STOP</x:v>
      </x:c>
      <x:c r="E38" s="19" t="n">
        <x:v>10</x:v>
      </x:c>
      <x:c r="F38" s="19" t="n">
        <x:v>2</x:v>
      </x:c>
      <x:c r="G38" s="22" t="n">
        <x:f>IF(E38=0,"",IF(ISNUMBER(F38),F38/E38,""))</x:f>
        <x:v>0.2</x:v>
      </x:c>
      <x:c r="H38" s="19" t="n">
        <x:v>4</x:v>
      </x:c>
      <x:c r="I38" s="19" t="n">
        <x:v>4664</x:v>
      </x:c>
      <x:c r="J38" s="19" t="n">
        <x:v>1181</x:v>
      </x:c>
      <x:c r="K38" s="19"/>
      <x:c r="L38" s="19" t="n">
        <x:v>10</x:v>
      </x:c>
      <x:c r="M38" s="19" t="n">
        <x:v>10</x:v>
      </x:c>
      <x:c r="N38" s="19" t="n">
        <x:v>0</x:v>
      </x:c>
      <x:c r="O38" s="24" t="n">
        <x:v>2.464915590000055</x:v>
      </x:c>
      <x:c r="P38" s="24" t="n">
        <x:v>1.756168500000058</x:v>
      </x:c>
      <x:c r="Q38" s="24" t="n">
        <x:v>5.413884925000228</x:v>
      </x:c>
      <x:c r="R38" s="24"/>
      <x:c r="S38" s="24"/>
      <x:c r="T38" s="25"/>
      <x:c r="U38" s="24" t="n">
        <x:v>0.044</x:v>
      </x:c>
      <x:c r="V38" s="25" t="n">
        <x:v>55.805</x:v>
      </x:c>
      <x:c r="W38" s="19" t="n">
        <x:v>7810</x:v>
      </x:c>
      <x:c r="X38" s="25" t="n">
        <x:v>17.347034454345703</x:v>
      </x:c>
      <x:c r="Y38" s="25" t="n">
        <x:v>6.263983190059662</x:v>
      </x:c>
      <x:c r="Z38" s="20" t="str">
        <x:v>Q6_K</x:v>
      </x:c>
      <x:c r="AA38" s="20" t="str">
        <x:v>max</x:v>
      </x:c>
      <x:c r="AB38" s="20"/>
      <x:c r="AC38" s="19" t="n">
        <x:v>4096</x:v>
      </x:c>
      <x:c r="AD38" s="19" t="n">
        <x:v>1</x:v>
      </x:c>
      <x:c r="AE38" s="19"/>
      <x:c r="AF38" s="19"/>
      <x:c r="AG38" s="19"/>
      <x:c r="AH38" s="24"/>
      <x:c r="AI38" s="20"/>
      <x:c r="AJ38" s="20" t="str">
        <x:v>20261001_180022Z_4c3f0d40_cli</x:v>
      </x:c>
      <x:c r="AK38" s="20" t="str">
        <x:v>results/20261001_180022Z_4c3f0d40_cli/webworld-8b-i1_raw.jsonl</x:v>
      </x:c>
      <x:c r="AL38" s="20" t="str">
        <x:v>a14a0f43a681a97c37362954eaad5f4ee86972226c481cb2ec1cde2b80683dac</x:v>
      </x:c>
    </x:row>
    <x:row r="39" ht="26" customHeight="1">
      <x:c r="A39" s="20" t="str">
        <x:v>granite-4.1-8b</x:v>
      </x:c>
      <x:c r="B39" s="20" t="str">
        <x:v>Historical CLI DEV</x:v>
      </x:c>
      <x:c r="C39" s="20" t="str">
        <x:v>old_dev</x:v>
      </x:c>
      <x:c r="D39" s="20" t="str">
        <x:v>EARLY_STOP</x:v>
      </x:c>
      <x:c r="E39" s="19" t="n">
        <x:v>6</x:v>
      </x:c>
      <x:c r="F39" s="19" t="n">
        <x:v>2</x:v>
      </x:c>
      <x:c r="G39" s="22" t="n">
        <x:f>IF(E39=0,"",IF(ISNUMBER(F39),F39/E39,""))</x:f>
        <x:v>0.3333333333333333</x:v>
      </x:c>
      <x:c r="H39" s="19" t="n">
        <x:v>4</x:v>
      </x:c>
      <x:c r="I39" s="19" t="n">
        <x:v>2708</x:v>
      </x:c>
      <x:c r="J39" s="19" t="n">
        <x:v>2053</x:v>
      </x:c>
      <x:c r="K39" s="19"/>
      <x:c r="L39" s="19" t="n">
        <x:v>6</x:v>
      </x:c>
      <x:c r="M39" s="19" t="n">
        <x:v>6</x:v>
      </x:c>
      <x:c r="N39" s="19" t="n">
        <x:v>0</x:v>
      </x:c>
      <x:c r="O39" s="24" t="n">
        <x:v>5.714555416666674</x:v>
      </x:c>
      <x:c r="P39" s="24" t="n">
        <x:v>6.4512495499998295</x:v>
      </x:c>
      <x:c r="Q39" s="24" t="n">
        <x:v>9.96037592499988</x:v>
      </x:c>
      <x:c r="R39" s="24"/>
      <x:c r="S39" s="24"/>
      <x:c r="T39" s="25"/>
      <x:c r="U39" s="24" t="n">
        <x:v>0.044</x:v>
      </x:c>
      <x:c r="V39" s="25" t="n">
        <x:v>64.135</x:v>
      </x:c>
      <x:c r="W39" s="19" t="n">
        <x:v>6834</x:v>
      </x:c>
      <x:c r="X39" s="25" t="n">
        <x:v>16.28213882446289</x:v>
      </x:c>
      <x:c r="Y39" s="25" t="n">
        <x:v>4.980634093284607</x:v>
      </x:c>
      <x:c r="Z39" s="20" t="str">
        <x:v>Q4_K_M</x:v>
      </x:c>
      <x:c r="AA39" s="20" t="str">
        <x:v>max</x:v>
      </x:c>
      <x:c r="AB39" s="20"/>
      <x:c r="AC39" s="19" t="n">
        <x:v>4096</x:v>
      </x:c>
      <x:c r="AD39" s="19" t="n">
        <x:v>1</x:v>
      </x:c>
      <x:c r="AE39" s="19"/>
      <x:c r="AF39" s="19"/>
      <x:c r="AG39" s="19"/>
      <x:c r="AH39" s="24"/>
      <x:c r="AI39" s="20"/>
      <x:c r="AJ39" s="20" t="str">
        <x:v>20261001_180022Z_4c3f0d40_cli</x:v>
      </x:c>
      <x:c r="AK39" s="20" t="str">
        <x:v>results/20261001_180022Z_4c3f0d40_cli/granite-4.1-8b_raw.jsonl</x:v>
      </x:c>
      <x:c r="AL39" s="20" t="str">
        <x:v>f9ebef17e6eab374a688c60fbe773dd1874014160e029f584ffecacc440473fb</x:v>
      </x:c>
    </x:row>
    <x:row r="40" ht="26" customHeight="1">
      <x:c r="A40" s="20" t="str">
        <x:v>dr-venus-4b-rl</x:v>
      </x:c>
      <x:c r="B40" s="20" t="str">
        <x:v>Historical CLI DEV</x:v>
      </x:c>
      <x:c r="C40" s="20" t="str">
        <x:v>old_dev</x:v>
      </x:c>
      <x:c r="D40" s="20" t="str">
        <x:v>SAVED</x:v>
      </x:c>
      <x:c r="E40" s="19" t="n">
        <x:v>12</x:v>
      </x:c>
      <x:c r="F40" s="19" t="n">
        <x:v>6</x:v>
      </x:c>
      <x:c r="G40" s="22" t="n">
        <x:f>IF(E40=0,"",IF(ISNUMBER(F40),F40/E40,""))</x:f>
        <x:v>0.5</x:v>
      </x:c>
      <x:c r="H40" s="19" t="n">
        <x:v>2</x:v>
      </x:c>
      <x:c r="I40" s="19" t="n">
        <x:v>5474</x:v>
      </x:c>
      <x:c r="J40" s="19" t="n">
        <x:v>10449</x:v>
      </x:c>
      <x:c r="K40" s="19"/>
      <x:c r="L40" s="19" t="n">
        <x:v>12</x:v>
      </x:c>
      <x:c r="M40" s="19" t="n">
        <x:v>12</x:v>
      </x:c>
      <x:c r="N40" s="19" t="n">
        <x:v>0</x:v>
      </x:c>
      <x:c r="O40" s="24" t="n">
        <x:v>9.249295591666547</x:v>
      </x:c>
      <x:c r="P40" s="24" t="n">
        <x:v>6.282724749999943</x:v>
      </x:c>
      <x:c r="Q40" s="24" t="n">
        <x:v>23.025593920000112</x:v>
      </x:c>
      <x:c r="R40" s="24"/>
      <x:c r="S40" s="24"/>
      <x:c r="T40" s="25"/>
      <x:c r="U40" s="24" t="n">
        <x:v>0.026000000000000002</x:v>
      </x:c>
      <x:c r="V40" s="25" t="n">
        <x:v>99.19999999999999</x:v>
      </x:c>
      <x:c r="W40" s="19" t="n">
        <x:v>4297</x:v>
      </x:c>
      <x:c r="X40" s="25" t="n">
        <x:v>16.085159301757812</x:v>
      </x:c>
      <x:c r="Y40" s="25" t="n">
        <x:v>2.5295353829860687</x:v>
      </x:c>
      <x:c r="Z40" s="20" t="str">
        <x:v>Q4_K_M</x:v>
      </x:c>
      <x:c r="AA40" s="20" t="str">
        <x:v>max</x:v>
      </x:c>
      <x:c r="AB40" s="20"/>
      <x:c r="AC40" s="19" t="n">
        <x:v>4096</x:v>
      </x:c>
      <x:c r="AD40" s="19" t="n">
        <x:v>1</x:v>
      </x:c>
      <x:c r="AE40" s="19"/>
      <x:c r="AF40" s="19"/>
      <x:c r="AG40" s="19"/>
      <x:c r="AH40" s="24"/>
      <x:c r="AI40" s="20"/>
      <x:c r="AJ40" s="20" t="str">
        <x:v>20261001_180022Z_4c3f0d40_cli</x:v>
      </x:c>
      <x:c r="AK40" s="20" t="str">
        <x:v>results/20261001_180022Z_4c3f0d40_cli/dr-venus-4b-rl_raw.jsonl</x:v>
      </x:c>
      <x:c r="AL40" s="20" t="str">
        <x:v>401b3d977f61a313791a43ec296d95126de87539dfcffe6eb6742f9825e0136b</x:v>
      </x:c>
    </x:row>
    <x:row r="41" ht="26" customHeight="1">
      <x:c r="A41" s="20" t="str">
        <x:v>qwen3-vl-8b-instruct</x:v>
      </x:c>
      <x:c r="B41" s="20" t="str">
        <x:v>Historical CLI DEV</x:v>
      </x:c>
      <x:c r="C41" s="20" t="str">
        <x:v>old_dev</x:v>
      </x:c>
      <x:c r="D41" s="20" t="str">
        <x:v>SAVED</x:v>
      </x:c>
      <x:c r="E41" s="19" t="n">
        <x:v>12</x:v>
      </x:c>
      <x:c r="F41" s="19" t="n">
        <x:v>4</x:v>
      </x:c>
      <x:c r="G41" s="22" t="n">
        <x:f>IF(E41=0,"",IF(ISNUMBER(F41),F41/E41,""))</x:f>
        <x:v>0.3333333333333333</x:v>
      </x:c>
      <x:c r="H41" s="19" t="n">
        <x:v>2</x:v>
      </x:c>
      <x:c r="I41" s="19" t="n">
        <x:v>5450</x:v>
      </x:c>
      <x:c r="J41" s="19" t="n">
        <x:v>315</x:v>
      </x:c>
      <x:c r="K41" s="19"/>
      <x:c r="L41" s="19" t="n">
        <x:v>12</x:v>
      </x:c>
      <x:c r="M41" s="19" t="n">
        <x:v>12</x:v>
      </x:c>
      <x:c r="N41" s="19" t="n">
        <x:v>0</x:v>
      </x:c>
      <x:c r="O41" s="24" t="n">
        <x:v>0.9284725250001884</x:v>
      </x:c>
      <x:c r="P41" s="24" t="n">
        <x:v>0.9643078000003698</x:v>
      </x:c>
      <x:c r="Q41" s="24" t="n">
        <x:v>1.0362890549998611</x:v>
      </x:c>
      <x:c r="R41" s="24"/>
      <x:c r="S41" s="24"/>
      <x:c r="T41" s="25"/>
      <x:c r="U41" s="24" t="n">
        <x:v>0.0405</x:v>
      </x:c>
      <x:c r="V41" s="25" t="n">
        <x:v>44.025</x:v>
      </x:c>
      <x:c r="W41" s="19" t="n">
        <x:v>11058</x:v>
      </x:c>
      <x:c r="X41" s="25" t="n">
        <x:v>19.6253662109375</x:v>
      </x:c>
      <x:c r="Y41" s="25" t="n">
        <x:v>9.190802723169327</x:v>
      </x:c>
      <x:c r="Z41" s="20" t="str">
        <x:v>Q8_0</x:v>
      </x:c>
      <x:c r="AA41" s="20" t="str">
        <x:v>max</x:v>
      </x:c>
      <x:c r="AB41" s="20"/>
      <x:c r="AC41" s="19" t="n">
        <x:v>4096</x:v>
      </x:c>
      <x:c r="AD41" s="19" t="n">
        <x:v>1</x:v>
      </x:c>
      <x:c r="AE41" s="19"/>
      <x:c r="AF41" s="19"/>
      <x:c r="AG41" s="19"/>
      <x:c r="AH41" s="24"/>
      <x:c r="AI41" s="20"/>
      <x:c r="AJ41" s="20" t="str">
        <x:v>20261001_180022Z_4c3f0d40_cli</x:v>
      </x:c>
      <x:c r="AK41" s="20" t="str">
        <x:v>results/20261001_180022Z_4c3f0d40_cli/qwen3-vl-8b-instruct_raw.jsonl</x:v>
      </x:c>
      <x:c r="AL41" s="20" t="str">
        <x:v>f990ec17fbb91f2ad053922f3fbcff197015558080c25a0fa389ce06cb11c7bf</x:v>
      </x:c>
    </x:row>
    <x:row r="42" ht="26" customHeight="1">
      <x:c r="A42" s="20" t="str">
        <x:v>qwen3-8b-deepseek-v3.2-speciale-distill</x:v>
      </x:c>
      <x:c r="B42" s="20" t="str">
        <x:v>Historical CLI DEV</x:v>
      </x:c>
      <x:c r="C42" s="20" t="str">
        <x:v>old_dev</x:v>
      </x:c>
      <x:c r="D42" s="20" t="str">
        <x:v>EARLY_STOP</x:v>
      </x:c>
      <x:c r="E42" s="19" t="n">
        <x:v>9</x:v>
      </x:c>
      <x:c r="F42" s="19" t="n">
        <x:v>5</x:v>
      </x:c>
      <x:c r="G42" s="22" t="n">
        <x:f>IF(E42=0,"",IF(ISNUMBER(F42),F42/E42,""))</x:f>
        <x:v>0.5555555555555556</x:v>
      </x:c>
      <x:c r="H42" s="19" t="n">
        <x:v>4</x:v>
      </x:c>
      <x:c r="I42" s="19" t="n">
        <x:v>4231</x:v>
      </x:c>
      <x:c r="J42" s="19" t="n">
        <x:v>127</x:v>
      </x:c>
      <x:c r="K42" s="19"/>
      <x:c r="L42" s="19" t="n">
        <x:v>9</x:v>
      </x:c>
      <x:c r="M42" s="19" t="n">
        <x:v>9</x:v>
      </x:c>
      <x:c r="N42" s="19" t="n">
        <x:v>0</x:v>
      </x:c>
      <x:c r="O42" s="24" t="n">
        <x:v>0.9498198111110064</x:v>
      </x:c>
      <x:c r="P42" s="24" t="n">
        <x:v>0.6424010999999155</x:v>
      </x:c>
      <x:c r="Q42" s="24" t="n">
        <x:v>2.351787419999709</x:v>
      </x:c>
      <x:c r="R42" s="24"/>
      <x:c r="S42" s="24"/>
      <x:c r="T42" s="25"/>
      <x:c r="U42" s="24" t="n">
        <x:v>0.039</x:v>
      </x:c>
      <x:c r="V42" s="25" t="n">
        <x:v>66.74</x:v>
      </x:c>
      <x:c r="W42" s="19" t="n">
        <x:v>6343</x:v>
      </x:c>
      <x:c r="X42" s="25" t="n">
        <x:v>16.442611694335938</x:v>
      </x:c>
      <x:c r="Y42" s="25" t="n">
        <x:v>4.682491015642881</x:v>
      </x:c>
      <x:c r="Z42" s="20" t="str">
        <x:v>Q4_K_M</x:v>
      </x:c>
      <x:c r="AA42" s="20" t="str">
        <x:v>max</x:v>
      </x:c>
      <x:c r="AB42" s="20"/>
      <x:c r="AC42" s="19" t="n">
        <x:v>4096</x:v>
      </x:c>
      <x:c r="AD42" s="19" t="n">
        <x:v>1</x:v>
      </x:c>
      <x:c r="AE42" s="19"/>
      <x:c r="AF42" s="19"/>
      <x:c r="AG42" s="19"/>
      <x:c r="AH42" s="24"/>
      <x:c r="AI42" s="20"/>
      <x:c r="AJ42" s="20" t="str">
        <x:v>20261001_180022Z_4c3f0d40_cli</x:v>
      </x:c>
      <x:c r="AK42" s="20" t="str">
        <x:v>results/20261001_180022Z_4c3f0d40_cli/qwen3-8b-deepseek-v3.2-speciale-distill_raw.jsonl</x:v>
      </x:c>
      <x:c r="AL42" s="20" t="str">
        <x:v>e29d225c3b3aa031df0d7205953d1f467620c3cb710833b4c319fc3b2e562bb5</x:v>
      </x:c>
    </x:row>
    <x:row r="43" ht="26" customHeight="1">
      <x:c r="A43" s="20" t="str">
        <x:v>gemma-4-26b-a4b-it</x:v>
      </x:c>
      <x:c r="B43" s="20" t="str">
        <x:v>Historical CLI DEV</x:v>
      </x:c>
      <x:c r="C43" s="20" t="str">
        <x:v>old_dev</x:v>
      </x:c>
      <x:c r="D43" s="20" t="str">
        <x:v>SAVED</x:v>
      </x:c>
      <x:c r="E43" s="19" t="n">
        <x:v>12</x:v>
      </x:c>
      <x:c r="F43" s="19" t="n">
        <x:v>9</x:v>
      </x:c>
      <x:c r="G43" s="22" t="n">
        <x:f>IF(E43=0,"",IF(ISNUMBER(F43),F43/E43,""))</x:f>
        <x:v>0.75</x:v>
      </x:c>
      <x:c r="H43" s="19" t="n">
        <x:v>0</x:v>
      </x:c>
      <x:c r="I43" s="19" t="n">
        <x:v>5764</x:v>
      </x:c>
      <x:c r="J43" s="19" t="n">
        <x:v>348</x:v>
      </x:c>
      <x:c r="K43" s="19"/>
      <x:c r="L43" s="19" t="n">
        <x:v>12</x:v>
      </x:c>
      <x:c r="M43" s="19" t="n">
        <x:v>12</x:v>
      </x:c>
      <x:c r="N43" s="19" t="n">
        <x:v>0</x:v>
      </x:c>
      <x:c r="O43" s="24" t="n">
        <x:v>1.693799199999982</x:v>
      </x:c>
      <x:c r="P43" s="24" t="n">
        <x:v>1.6155929999999898</x:v>
      </x:c>
      <x:c r="Q43" s="24" t="n">
        <x:v>2.129324650000171</x:v>
      </x:c>
      <x:c r="R43" s="24"/>
      <x:c r="S43" s="24"/>
      <x:c r="T43" s="25"/>
      <x:c r="U43" s="24" t="n">
        <x:v>0.464</x:v>
      </x:c>
      <x:c r="V43" s="25" t="n">
        <x:v>33.42</x:v>
      </x:c>
      <x:c r="W43" s="19" t="n">
        <x:v>13991</x:v>
      </x:c>
      <x:c r="X43" s="25" t="n">
        <x:v>26.787128448486328</x:v>
      </x:c>
      <x:c r="Y43" s="25" t="n">
        <x:v>15.690822293050587</x:v>
      </x:c>
      <x:c r="Z43" s="20" t="str">
        <x:v>IQ4_NL_XL</x:v>
      </x:c>
      <x:c r="AA43" s="20" t="str">
        <x:v>0.70</x:v>
      </x:c>
      <x:c r="AB43" s="20"/>
      <x:c r="AC43" s="19" t="n">
        <x:v>4096</x:v>
      </x:c>
      <x:c r="AD43" s="19" t="n">
        <x:v>1</x:v>
      </x:c>
      <x:c r="AE43" s="19"/>
      <x:c r="AF43" s="19"/>
      <x:c r="AG43" s="19"/>
      <x:c r="AH43" s="24"/>
      <x:c r="AI43" s="20"/>
      <x:c r="AJ43" s="20" t="str">
        <x:v>20261001_180022Z_4c3f0d40_cli</x:v>
      </x:c>
      <x:c r="AK43" s="20" t="str">
        <x:v>results/20261001_180022Z_4c3f0d40_cli/gemma-4-26b-a4b-it_raw.jsonl</x:v>
      </x:c>
      <x:c r="AL43" s="20" t="str">
        <x:v>11fa71c82a5d99b483af604e49ecc5cb219782d55133ecd17d3b08b9e10af4b0</x:v>
      </x:c>
    </x:row>
    <x:row r="44" ht="26" customHeight="1">
      <x:c r="A44" s="20" t="str">
        <x:v>qwen3-omni-30b-a3b-instruct</x:v>
      </x:c>
      <x:c r="B44" s="20" t="str">
        <x:v>Historical CLI DEV</x:v>
      </x:c>
      <x:c r="C44" s="20" t="str">
        <x:v>old_dev</x:v>
      </x:c>
      <x:c r="D44" s="20" t="str">
        <x:v>SAVED</x:v>
      </x:c>
      <x:c r="E44" s="19" t="n">
        <x:v>12</x:v>
      </x:c>
      <x:c r="F44" s="19" t="n">
        <x:v>5</x:v>
      </x:c>
      <x:c r="G44" s="22" t="n">
        <x:f>IF(E44=0,"",IF(ISNUMBER(F44),F44/E44,""))</x:f>
        <x:v>0.4166666666666667</x:v>
      </x:c>
      <x:c r="H44" s="19" t="n">
        <x:v>1</x:v>
      </x:c>
      <x:c r="I44" s="19" t="n">
        <x:v>5498</x:v>
      </x:c>
      <x:c r="J44" s="19" t="n">
        <x:v>416</x:v>
      </x:c>
      <x:c r="K44" s="19"/>
      <x:c r="L44" s="19" t="n">
        <x:v>12</x:v>
      </x:c>
      <x:c r="M44" s="19" t="n">
        <x:v>12</x:v>
      </x:c>
      <x:c r="N44" s="19" t="n">
        <x:v>0</x:v>
      </x:c>
      <x:c r="O44" s="24" t="n">
        <x:v>1.7856047333333056</x:v>
      </x:c>
      <x:c r="P44" s="24" t="n">
        <x:v>1.7324643500001002</x:v>
      </x:c>
      <x:c r="Q44" s="24" t="n">
        <x:v>2.2405316899998975</x:v>
      </x:c>
      <x:c r="R44" s="24"/>
      <x:c r="S44" s="24"/>
      <x:c r="T44" s="25"/>
      <x:c r="U44" s="24" t="n">
        <x:v>0.5265</x:v>
      </x:c>
      <x:c r="V44" s="25" t="n">
        <x:v>36.989999999999995</x:v>
      </x:c>
      <x:c r="W44" s="19" t="n">
        <x:v>14947</x:v>
      </x:c>
      <x:c r="X44" s="25" t="n">
        <x:v>28.733558654785156</x:v>
      </x:c>
      <x:c r="Y44" s="25" t="n">
        <x:v>19.33846578001976</x:v>
      </x:c>
      <x:c r="Z44" s="20" t="str">
        <x:v>Q4_K_M</x:v>
      </x:c>
      <x:c r="AA44" s="20" t="str">
        <x:v>0.60</x:v>
      </x:c>
      <x:c r="AB44" s="20"/>
      <x:c r="AC44" s="19" t="n">
        <x:v>4096</x:v>
      </x:c>
      <x:c r="AD44" s="19" t="n">
        <x:v>1</x:v>
      </x:c>
      <x:c r="AE44" s="19"/>
      <x:c r="AF44" s="19"/>
      <x:c r="AG44" s="19"/>
      <x:c r="AH44" s="24"/>
      <x:c r="AI44" s="20"/>
      <x:c r="AJ44" s="20" t="str">
        <x:v>20261001_180022Z_4c3f0d40_cli</x:v>
      </x:c>
      <x:c r="AK44" s="20" t="str">
        <x:v>results/20261001_180022Z_4c3f0d40_cli/qwen3-omni-30b-a3b-instruct_raw.jsonl</x:v>
      </x:c>
      <x:c r="AL44" s="20" t="str">
        <x:v>a9686250d53ac68ce1076b80500a83d654454e13d459af5968c1b974455fb93e</x:v>
      </x:c>
    </x:row>
    <x:row r="45" ht="26" customHeight="1">
      <x:c r="A45" s="20" t="str">
        <x:v>qwen3.6-35b-a3b-uncensored-hauhaucs-aggressive</x:v>
      </x:c>
      <x:c r="B45" s="20" t="str">
        <x:v>Historical CLI DEV</x:v>
      </x:c>
      <x:c r="C45" s="20" t="str">
        <x:v>old_dev</x:v>
      </x:c>
      <x:c r="D45" s="20" t="str">
        <x:v>INTERRUPTED</x:v>
      </x:c>
      <x:c r="E45" s="19" t="n">
        <x:v>1</x:v>
      </x:c>
      <x:c r="F45" s="19" t="n">
        <x:v>0</x:v>
      </x:c>
      <x:c r="G45" s="22" t="n">
        <x:f>IF(E45=0,"",IF(ISNUMBER(F45),F45/E45,""))</x:f>
        <x:v>0</x:v>
      </x:c>
      <x:c r="H45" s="19" t="n">
        <x:v>0</x:v>
      </x:c>
      <x:c r="I45" s="19" t="n">
        <x:v>539</x:v>
      </x:c>
      <x:c r="J45" s="19" t="n">
        <x:v>37</x:v>
      </x:c>
      <x:c r="K45" s="19"/>
      <x:c r="L45" s="19" t="n">
        <x:v>1</x:v>
      </x:c>
      <x:c r="M45" s="19" t="n">
        <x:v>1</x:v>
      </x:c>
      <x:c r="N45" s="19" t="n">
        <x:v>0</x:v>
      </x:c>
      <x:c r="O45" s="24" t="n">
        <x:v>3.5928320000002714</x:v>
      </x:c>
      <x:c r="P45" s="24" t="n">
        <x:v>3.5928320000002714</x:v>
      </x:c>
      <x:c r="Q45" s="24" t="n">
        <x:v>3.5928320000002714</x:v>
      </x:c>
      <x:c r="R45" s="24"/>
      <x:c r="S45" s="24"/>
      <x:c r="T45" s="25"/>
      <x:c r="U45" s="24" t="n">
        <x:v>2.067</x:v>
      </x:c>
      <x:c r="V45" s="25" t="n">
        <x:v>31.12</x:v>
      </x:c>
      <x:c r="W45" s="19" t="n">
        <x:v>13849</x:v>
      </x:c>
      <x:c r="X45" s="25" t="n">
        <x:v>30.130714416503906</x:v>
      </x:c>
      <x:c r="Y45" s="25" t="n">
        <x:v>20.550602197647095</x:v>
      </x:c>
      <x:c r="Z45" s="20" t="str">
        <x:v>Q4_K_M</x:v>
      </x:c>
      <x:c r="AA45" s="20" t="str">
        <x:v>0.55</x:v>
      </x:c>
      <x:c r="AB45" s="20"/>
      <x:c r="AC45" s="19" t="n">
        <x:v>4096</x:v>
      </x:c>
      <x:c r="AD45" s="19" t="n">
        <x:v>1</x:v>
      </x:c>
      <x:c r="AE45" s="19"/>
      <x:c r="AF45" s="19"/>
      <x:c r="AG45" s="19"/>
      <x:c r="AH45" s="24"/>
      <x:c r="AI45" s="20"/>
      <x:c r="AJ45" s="20" t="str">
        <x:v>20261001_180022Z_4c3f0d40_cli</x:v>
      </x:c>
      <x:c r="AK45" s="20" t="str">
        <x:v>results/20261001_180022Z_4c3f0d40_cli/qwen3.6-35b-a3b-uncensored-hauhaucs-aggressive_raw.jsonl</x:v>
      </x:c>
      <x:c r="AL45" s="20" t="str">
        <x:v>acba63a5bcb1eaab08a3ec9bc19d7b202a1c1f3537defff2a9c3339ff4b29266</x:v>
      </x:c>
    </x:row>
    <x:row r="46" ht="26" customHeight="1">
      <x:c r="A46" s="20" t="str">
        <x:v>qwen3-coder-next</x:v>
      </x:c>
      <x:c r="B46" s="20" t="str">
        <x:v>Historical CLI DEV</x:v>
      </x:c>
      <x:c r="C46" s="20" t="str">
        <x:v>old_dev</x:v>
      </x:c>
      <x:c r="D46" s="20" t="str">
        <x:v>INTERRUPTED</x:v>
      </x:c>
      <x:c r="E46" s="19" t="n">
        <x:v>0</x:v>
      </x:c>
      <x:c r="F46" s="19"/>
      <x:c r="G46" s="22" t="str">
        <x:f>IF(E46=0,"",IF(ISNUMBER(F46),F46/E46,""))</x:f>
      </x:c>
      <x:c r="H46" s="19"/>
      <x:c r="I46" s="19"/>
      <x:c r="J46" s="19"/>
      <x:c r="K46" s="19"/>
      <x:c r="L46" s="19" t="n">
        <x:v>0</x:v>
      </x:c>
      <x:c r="M46" s="19" t="n">
        <x:v>0</x:v>
      </x:c>
      <x:c r="N46" s="19" t="n">
        <x:v>0</x:v>
      </x:c>
      <x:c r="O46" s="24"/>
      <x:c r="P46" s="24"/>
      <x:c r="Q46" s="24"/>
      <x:c r="R46" s="24"/>
      <x:c r="S46" s="24"/>
      <x:c r="T46" s="25"/>
      <x:c r="U46" s="24"/>
      <x:c r="V46" s="25"/>
      <x:c r="W46" s="19" t="n">
        <x:v>13801</x:v>
      </x:c>
      <x:c r="X46" s="25" t="n">
        <x:v>19.677696228027344</x:v>
      </x:c>
      <x:c r="Y46" s="25" t="n">
        <x:v>31.031917572021484</x:v>
      </x:c>
      <x:c r="Z46" s="20" t="str">
        <x:v>Q3_K_S</x:v>
      </x:c>
      <x:c r="AA46" s="20" t="str">
        <x:v>0.40</x:v>
      </x:c>
      <x:c r="AB46" s="20"/>
      <x:c r="AC46" s="19" t="n">
        <x:v>4096</x:v>
      </x:c>
      <x:c r="AD46" s="19" t="n">
        <x:v>1</x:v>
      </x:c>
      <x:c r="AE46" s="19"/>
      <x:c r="AF46" s="19"/>
      <x:c r="AG46" s="19"/>
      <x:c r="AH46" s="24"/>
      <x:c r="AI46" s="20"/>
      <x:c r="AJ46" s="20" t="str">
        <x:v>20261001_180022Z_4c3f0d40_cli</x:v>
      </x:c>
      <x:c r="AK46" s="20" t="str">
        <x:v>results/20261001_180022Z_4c3f0d40_cli/manifest.json</x:v>
      </x:c>
      <x:c r="AL46" s="20" t="str">
        <x:v>62ed846e8796e72cec07c4af8b14fd3855007933922f863fa92fe8a1672a7af6</x:v>
      </x:c>
    </x:row>
    <x:row r="47" ht="26" customHeight="1">
      <x:c r="A47" s="20" t="str">
        <x:v>gemma-4-26b-a4b-it</x:v>
      </x:c>
      <x:c r="B47" s="20" t="str">
        <x:v>Historical CLI DEV</x:v>
      </x:c>
      <x:c r="C47" s="20" t="str">
        <x:v>old_dev</x:v>
      </x:c>
      <x:c r="D47" s="20" t="str">
        <x:v>SAVED</x:v>
      </x:c>
      <x:c r="E47" s="19" t="n">
        <x:v>36</x:v>
      </x:c>
      <x:c r="F47" s="19" t="n">
        <x:v>21</x:v>
      </x:c>
      <x:c r="G47" s="22" t="n">
        <x:f>IF(E47=0,"",IF(ISNUMBER(F47),F47/E47,""))</x:f>
        <x:v>0.5833333333333334</x:v>
      </x:c>
      <x:c r="H47" s="19" t="n">
        <x:v>1</x:v>
      </x:c>
      <x:c r="I47" s="19" t="n">
        <x:v>17016</x:v>
      </x:c>
      <x:c r="J47" s="19" t="n">
        <x:v>1123</x:v>
      </x:c>
      <x:c r="K47" s="19"/>
      <x:c r="L47" s="19" t="n">
        <x:v>36</x:v>
      </x:c>
      <x:c r="M47" s="19" t="n">
        <x:v>36</x:v>
      </x:c>
      <x:c r="N47" s="19" t="n">
        <x:v>0</x:v>
      </x:c>
      <x:c r="O47" s="24" t="n">
        <x:v>1.5799279833333406</x:v>
      </x:c>
      <x:c r="P47" s="24" t="n">
        <x:v>1.471990850000111</x:v>
      </x:c>
      <x:c r="Q47" s="24" t="n">
        <x:v>2.3624020749998635</x:v>
      </x:c>
      <x:c r="R47" s="24"/>
      <x:c r="S47" s="24"/>
      <x:c r="T47" s="25"/>
      <x:c r="U47" s="24" t="n">
        <x:v>0.4285</x:v>
      </x:c>
      <x:c r="V47" s="25" t="n">
        <x:v>36.55</x:v>
      </x:c>
      <x:c r="W47" s="19" t="n">
        <x:v>13937</x:v>
      </x:c>
      <x:c r="X47" s="25" t="n">
        <x:v>25.742290496826172</x:v>
      </x:c>
      <x:c r="Y47" s="25" t="n">
        <x:v>15.690822293050587</x:v>
      </x:c>
      <x:c r="Z47" s="20" t="str">
        <x:v>IQ4_NL_XL</x:v>
      </x:c>
      <x:c r="AA47" s="20" t="str">
        <x:v>0.70</x:v>
      </x:c>
      <x:c r="AB47" s="20"/>
      <x:c r="AC47" s="19" t="n">
        <x:v>4096</x:v>
      </x:c>
      <x:c r="AD47" s="19" t="n">
        <x:v>1</x:v>
      </x:c>
      <x:c r="AE47" s="19"/>
      <x:c r="AF47" s="19"/>
      <x:c r="AG47" s="19"/>
      <x:c r="AH47" s="24"/>
      <x:c r="AI47" s="20"/>
      <x:c r="AJ47" s="20" t="str">
        <x:v>20261001_181115Z_5bff1166_cli</x:v>
      </x:c>
      <x:c r="AK47" s="20" t="str">
        <x:v>results/20261001_181115Z_5bff1166_cli/gemma-4-26b-a4b-it_raw.jsonl</x:v>
      </x:c>
      <x:c r="AL47" s="20" t="str">
        <x:v>8622f49a72c68622aa77f17823d4683abb5dcde9a1e80d19d2ad6657bb959a4f</x:v>
      </x:c>
    </x:row>
    <x:row r="48" ht="26" customHeight="1">
      <x:c r="A48" s="20" t="str">
        <x:v>qwen3-coder-next</x:v>
      </x:c>
      <x:c r="B48" s="20" t="str">
        <x:v>Historical CLI DEV</x:v>
      </x:c>
      <x:c r="C48" s="20" t="str">
        <x:v>old_dev</x:v>
      </x:c>
      <x:c r="D48" s="20" t="str">
        <x:v>INTERRUPTED</x:v>
      </x:c>
      <x:c r="E48" s="19" t="n">
        <x:v>0</x:v>
      </x:c>
      <x:c r="F48" s="19"/>
      <x:c r="G48" s="22" t="str">
        <x:f>IF(E48=0,"",IF(ISNUMBER(F48),F48/E48,""))</x:f>
      </x:c>
      <x:c r="H48" s="19"/>
      <x:c r="I48" s="19"/>
      <x:c r="J48" s="19"/>
      <x:c r="K48" s="19"/>
      <x:c r="L48" s="19" t="n">
        <x:v>0</x:v>
      </x:c>
      <x:c r="M48" s="19" t="n">
        <x:v>0</x:v>
      </x:c>
      <x:c r="N48" s="19" t="n">
        <x:v>0</x:v>
      </x:c>
      <x:c r="O48" s="24"/>
      <x:c r="P48" s="24"/>
      <x:c r="Q48" s="24"/>
      <x:c r="R48" s="24"/>
      <x:c r="S48" s="24"/>
      <x:c r="T48" s="25"/>
      <x:c r="U48" s="24"/>
      <x:c r="V48" s="25"/>
      <x:c r="W48" s="19" t="n">
        <x:v>11777</x:v>
      </x:c>
      <x:c r="X48" s="25" t="n">
        <x:v>27.651451110839844</x:v>
      </x:c>
      <x:c r="Y48" s="25" t="n">
        <x:v>31.031917572021484</x:v>
      </x:c>
      <x:c r="Z48" s="20" t="str">
        <x:v>Q3_K_S</x:v>
      </x:c>
      <x:c r="AA48" s="20" t="str">
        <x:v>0.35</x:v>
      </x:c>
      <x:c r="AB48" s="20"/>
      <x:c r="AC48" s="19" t="n">
        <x:v>4096</x:v>
      </x:c>
      <x:c r="AD48" s="19" t="n">
        <x:v>1</x:v>
      </x:c>
      <x:c r="AE48" s="19"/>
      <x:c r="AF48" s="19"/>
      <x:c r="AG48" s="19"/>
      <x:c r="AH48" s="24"/>
      <x:c r="AI48" s="20"/>
      <x:c r="AJ48" s="20" t="str">
        <x:v>20261001_181425Z_b95ae6f4_cli</x:v>
      </x:c>
      <x:c r="AK48" s="20" t="str">
        <x:v>results/20261001_181425Z_b95ae6f4_cli/manifest.json</x:v>
      </x:c>
      <x:c r="AL48" s="20" t="str">
        <x:v>d244574dc3b9ba28476b86e99276d1a739ca775cea64706215c38a1faa7db501</x:v>
      </x:c>
    </x:row>
    <x:row r="49" ht="26" customHeight="1">
      <x:c r="A49" s="20" t="str">
        <x:v>qwen3.8-27b</x:v>
      </x:c>
      <x:c r="B49" s="20" t="str">
        <x:v>Historical CLI DEV</x:v>
      </x:c>
      <x:c r="C49" s="20" t="str">
        <x:v>custom_dev</x:v>
      </x:c>
      <x:c r="D49" s="20" t="str">
        <x:v>SAVED</x:v>
      </x:c>
      <x:c r="E49" s="19" t="n">
        <x:v>12</x:v>
      </x:c>
      <x:c r="F49" s="19" t="n">
        <x:v>9</x:v>
      </x:c>
      <x:c r="G49" s="22" t="n">
        <x:f>IF(E49=0,"",IF(ISNUMBER(F49),F49/E49,""))</x:f>
        <x:v>0.75</x:v>
      </x:c>
      <x:c r="H49" s="19" t="n">
        <x:v>0</x:v>
      </x:c>
      <x:c r="I49" s="19" t="n">
        <x:v>5927</x:v>
      </x:c>
      <x:c r="J49" s="19" t="n">
        <x:v>409</x:v>
      </x:c>
      <x:c r="K49" s="19"/>
      <x:c r="L49" s="19" t="n">
        <x:v>12</x:v>
      </x:c>
      <x:c r="M49" s="19" t="n">
        <x:v>12</x:v>
      </x:c>
      <x:c r="N49" s="19" t="n">
        <x:v>0</x:v>
      </x:c>
      <x:c r="O49" s="24" t="n">
        <x:v>3.2905290333334656</x:v>
      </x:c>
      <x:c r="P49" s="24" t="n">
        <x:v>3.267790650000279</x:v>
      </x:c>
      <x:c r="Q49" s="24" t="n">
        <x:v>4.141679580000255</x:v>
      </x:c>
      <x:c r="R49" s="24"/>
      <x:c r="S49" s="24"/>
      <x:c r="T49" s="25"/>
      <x:c r="U49" s="24" t="n">
        <x:v>0.7515000000000001</x:v>
      </x:c>
      <x:c r="V49" s="25" t="n">
        <x:v>15.545</x:v>
      </x:c>
      <x:c r="W49" s="19" t="n">
        <x:v>15089</x:v>
      </x:c>
      <x:c r="X49" s="25" t="n">
        <x:v>27.66363525390625</x:v>
      </x:c>
      <x:c r="Y49" s="25" t="n">
        <x:v>16.197610154747963</x:v>
      </x:c>
      <x:c r="Z49" s="20" t="str">
        <x:v>Q4_K_M</x:v>
      </x:c>
      <x:c r="AA49" s="20" t="str">
        <x:v>0.75</x:v>
      </x:c>
      <x:c r="AB49" s="20"/>
      <x:c r="AC49" s="19" t="n">
        <x:v>4096</x:v>
      </x:c>
      <x:c r="AD49" s="19" t="n">
        <x:v>1</x:v>
      </x:c>
      <x:c r="AE49" s="19"/>
      <x:c r="AF49" s="19"/>
      <x:c r="AG49" s="19"/>
      <x:c r="AH49" s="24"/>
      <x:c r="AI49" s="20"/>
      <x:c r="AJ49" s="20" t="str">
        <x:v>20261001_181635Z_1a6b892a_cli</x:v>
      </x:c>
      <x:c r="AK49" s="20" t="str">
        <x:v>results/20261001_181635Z_1a6b892a_cli/qwen3.8-27b_raw.jsonl</x:v>
      </x:c>
      <x:c r="AL49" s="20" t="str">
        <x:v>5a1dc587b8f19f4ffb8e2e664ef02af2ca5a62c3e4347c9f37ec11bf4a211a88</x:v>
      </x:c>
    </x:row>
    <x:row r="50" ht="26" customHeight="1">
      <x:c r="A50" s="20" t="str">
        <x:v>gemma-4-26b-a4b-it</x:v>
      </x:c>
      <x:c r="B50" s="20" t="str">
        <x:v>Historical CLI DEV</x:v>
      </x:c>
      <x:c r="C50" s="20" t="str">
        <x:v>custom_dev</x:v>
      </x:c>
      <x:c r="D50" s="20" t="str">
        <x:v>SAVED</x:v>
      </x:c>
      <x:c r="E50" s="19" t="n">
        <x:v>12</x:v>
      </x:c>
      <x:c r="F50" s="19" t="n">
        <x:v>9</x:v>
      </x:c>
      <x:c r="G50" s="22" t="n">
        <x:f>IF(E50=0,"",IF(ISNUMBER(F50),F50/E50,""))</x:f>
        <x:v>0.75</x:v>
      </x:c>
      <x:c r="H50" s="19" t="n">
        <x:v>0</x:v>
      </x:c>
      <x:c r="I50" s="19" t="n">
        <x:v>6074</x:v>
      </x:c>
      <x:c r="J50" s="19" t="n">
        <x:v>430</x:v>
      </x:c>
      <x:c r="K50" s="19"/>
      <x:c r="L50" s="19" t="n">
        <x:v>12</x:v>
      </x:c>
      <x:c r="M50" s="19" t="n">
        <x:v>12</x:v>
      </x:c>
      <x:c r="N50" s="19" t="n">
        <x:v>0</x:v>
      </x:c>
      <x:c r="O50" s="24" t="n">
        <x:v>1.8813388999997944</x:v>
      </x:c>
      <x:c r="P50" s="24" t="n">
        <x:v>1.8098323499998514</x:v>
      </x:c>
      <x:c r="Q50" s="24" t="n">
        <x:v>2.5849965550000884</x:v>
      </x:c>
      <x:c r="R50" s="24"/>
      <x:c r="S50" s="24"/>
      <x:c r="T50" s="25"/>
      <x:c r="U50" s="24" t="n">
        <x:v>0.4715</x:v>
      </x:c>
      <x:c r="V50" s="25" t="n">
        <x:v>35.32</x:v>
      </x:c>
      <x:c r="W50" s="19" t="n">
        <x:v>13913</x:v>
      </x:c>
      <x:c r="X50" s="25" t="n">
        <x:v>25.434078216552734</x:v>
      </x:c>
      <x:c r="Y50" s="25" t="n">
        <x:v>15.690822293050587</x:v>
      </x:c>
      <x:c r="Z50" s="20" t="str">
        <x:v>IQ4_NL_XL</x:v>
      </x:c>
      <x:c r="AA50" s="20" t="str">
        <x:v>0.70</x:v>
      </x:c>
      <x:c r="AB50" s="20"/>
      <x:c r="AC50" s="19" t="n">
        <x:v>4096</x:v>
      </x:c>
      <x:c r="AD50" s="19" t="n">
        <x:v>1</x:v>
      </x:c>
      <x:c r="AE50" s="19"/>
      <x:c r="AF50" s="19"/>
      <x:c r="AG50" s="19"/>
      <x:c r="AH50" s="24"/>
      <x:c r="AI50" s="20"/>
      <x:c r="AJ50" s="20" t="str">
        <x:v>20261001_181635Z_1a6b892a_cli</x:v>
      </x:c>
      <x:c r="AK50" s="20" t="str">
        <x:v>results/20261001_181635Z_1a6b892a_cli/gemma-4-26b-a4b-it_raw.jsonl</x:v>
      </x:c>
      <x:c r="AL50" s="20" t="str">
        <x:v>a85d3950583e90d354e4e589c1794f9d9dbffeb522cc1b815431fe4d815a6163</x:v>
      </x:c>
    </x:row>
    <x:row r="51" ht="26" customHeight="1">
      <x:c r="A51" s="20" t="str">
        <x:v>mercury-2.5</x:v>
      </x:c>
      <x:c r="B51" s="20" t="str">
        <x:v>Mercury API DEV</x:v>
      </x:c>
      <x:c r="C51" s="20" t="str">
        <x:v>old_dev</x:v>
      </x:c>
      <x:c r="D51" s="20" t="str">
        <x:v>DEVELOPMENT_ONLY</x:v>
      </x:c>
      <x:c r="E51" s="19" t="n">
        <x:v>36</x:v>
      </x:c>
      <x:c r="F51" s="19" t="n">
        <x:v>27</x:v>
      </x:c>
      <x:c r="G51" s="22" t="n">
        <x:f>IF(E51=0,"",IF(ISNUMBER(F51),F51/E51,""))</x:f>
        <x:v>0.75</x:v>
      </x:c>
      <x:c r="H51" s="19" t="n">
        <x:v>4</x:v>
      </x:c>
      <x:c r="I51" s="19" t="n">
        <x:v>19819</x:v>
      </x:c>
      <x:c r="J51" s="19" t="n">
        <x:v>6463</x:v>
      </x:c>
      <x:c r="K51" s="19"/>
      <x:c r="L51" s="19" t="n">
        <x:v>34</x:v>
      </x:c>
      <x:c r="M51" s="19" t="n">
        <x:v>34</x:v>
      </x:c>
      <x:c r="N51" s="19" t="n">
        <x:v>0</x:v>
      </x:c>
      <x:c r="O51" s="24" t="n">
        <x:v>4.980864202777815</x:v>
      </x:c>
      <x:c r="P51" s="24" t="n">
        <x:v>1.6966231000005791</x:v>
      </x:c>
      <x:c r="Q51" s="24" t="n">
        <x:v>17.358803700000863</x:v>
      </x:c>
      <x:c r="R51" s="24"/>
      <x:c r="S51" s="24"/>
      <x:c r="T51" s="25"/>
      <x:c r="U51" s="24"/>
      <x:c r="V51" s="25"/>
      <x:c r="W51" s="19"/>
      <x:c r="X51" s="25"/>
      <x:c r="Y51" s="25"/>
      <x:c r="Z51" s="20"/>
      <x:c r="AA51" s="20"/>
      <x:c r="AB51" s="20"/>
      <x:c r="AC51" s="19"/>
      <x:c r="AD51" s="19"/>
      <x:c r="AE51" s="19" t="n">
        <x:v>0</x:v>
      </x:c>
      <x:c r="AF51" s="19" t="n">
        <x:v>512</x:v>
      </x:c>
      <x:c r="AG51" s="19"/>
      <x:c r="AH51" s="24"/>
      <x:c r="AI51" s="20" t="str">
        <x:v>instant</x:v>
      </x:c>
      <x:c r="AJ51" s="20" t="str">
        <x:v>20261001_200720Z_e2dad72a_mercurydev36</x:v>
      </x:c>
      <x:c r="AK51" s="20" t="str">
        <x:v>results/20261001_200720Z_e2dad72a_mercurydev36/combined_mercury_raw.jsonl</x:v>
      </x:c>
      <x:c r="AL51" s="20" t="str">
        <x:v>1be9c747ec88cda35bbcb10b207fab18b6de427062fb45af29290c015d427b76</x:v>
      </x:c>
    </x:row>
  </x:sheetData>
  <x:conditionalFormatting sqref="D7:D51">
    <x:cfRule type="containsText" dxfId="18" priority="1" operator="containsText" text="BLOCKED"/>
    <x:cfRule type="containsText" dxfId="19" priority="2" operator="containsText" text="NOT_RUN"/>
    <x:cfRule type="containsText" dxfId="20" priority="3" operator="containsText" text="NOT RUN"/>
    <x:cfRule type="containsText" dxfId="21" priority="4" operator="containsText" text="RATE_LIMITED"/>
    <x:cfRule type="containsText" dxfId="22" priority="5" operator="containsText" text="PARTIAL"/>
    <x:cfRule type="containsText" dxfId="23" priority="6" operator="containsText" text="PAID_NOT_AUTHORIZED"/>
  </x:conditionalFormatting>
  <x:pageMargins left="0.7" right="0.7" top="0.75" bottom="0.75" header="0.3" footer="0.3"/>
  <x:tableParts count="1">
    <x:tablePart xmlns:r="http://schemas.openxmlformats.org/officeDocument/2006/relationships" r:id="Rc68237cee6944f74"/>
  </x:tableParts>
</x:worksheet>
</file>

<file path=xl/worksheets/sheet5.xml><?xml version="1.0" encoding="utf-8"?>
<x:worksheet xmlns:x="http://schemas.openxmlformats.org/spreadsheetml/2006/main">
  <x:sheetPr>
    <x:tabColor rgb="FF909EA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3" hidden="0" customWidth="1"/>
    <x:col min="2" max="2" width="155" hidden="0" customWidth="1"/>
    <x:col min="3" max="3" width="115" hidden="0" customWidth="1"/>
  </x:cols>
  <x:sheetData>
    <x:row r="1" ht="10" customHeight="1">
      <x:c r="A1" s="2"/>
      <x:c r="B1" s="2"/>
      <x:c r="C1" s="2"/>
    </x:row>
    <x:row r="2" ht="26" customHeight="1">
      <x:c r="A2" s="4" t="str">
        <x:v>Определения, coverage и воспроизводимость</x:v>
      </x:c>
      <x:c r="B2" s="5"/>
      <x:c r="C2" s="5"/>
    </x:row>
    <x:row r="3" ht="26" customHeight="1">
      <x:c r="A3" s="6" t="str">
        <x:v>Human validation FALSE. Each source is an immutable or versioned project artifact.</x:v>
      </x:c>
      <x:c r="B3" s="2"/>
      <x:c r="C3" s="2"/>
    </x:row>
    <x:row r="4" ht="26" customHeight="1">
      <x:c r="A4" s="2"/>
      <x:c r="B4" s="2"/>
      <x:c r="C4" s="2"/>
    </x:row>
    <x:row r="5" ht="26" customHeight="1">
      <x:c r="A5" s="2"/>
      <x:c r="B5" s="2"/>
      <x:c r="C5" s="2"/>
    </x:row>
    <x:row r="6" ht="64" customHeight="1">
      <x:c r="A6" s="15" t="str">
        <x:v>Поле</x:v>
      </x:c>
      <x:c r="B6" s="16" t="str">
        <x:v>Определение / значение</x:v>
      </x:c>
      <x:c r="C6" s="17" t="str">
        <x:v>Ограничение</x:v>
      </x:c>
    </x:row>
    <x:row r="7" ht="62" customHeight="1">
      <x:c r="A7" s="21" t="str">
        <x:v>Статус исследования</x:v>
      </x:c>
      <x:c r="B7" s="21" t="str">
        <x:v>Observed DEV exploratory; old final150 observed</x:v>
      </x:c>
      <x:c r="C7" s="21" t="str">
        <x:v>human_review FALSE; new independent confirmatory holdout NOT RUN</x:v>
      </x:c>
    </x:row>
    <x:row r="8" ht="62" customHeight="1">
      <x:c r="A8" s="21" t="str">
        <x:v>Качество</x:v>
      </x:c>
      <x:c r="B8" s="21" t="str">
        <x:v>Correct / declared intended N or individual measured N</x:v>
      </x:c>
      <x:c r="C8" s="21" t="str">
        <x:v>Нет общего рейтинга между CLI/API, разными DEV/profile или unequal probes</x:v>
      </x:c>
    </x:row>
    <x:row r="9" ht="62" customHeight="1">
      <x:c r="A9" s="21" t="str">
        <x:v>Пропущенные числа</x:v>
      </x:c>
      <x:c r="B9" s="21" t="str">
        <x:v>Пустая numeric cell означает UNKNOWN / NOT RUN / N/A</x:v>
      </x:c>
      <x:c r="C9" s="21" t="str">
        <x:v>Реальный измеренный0 сохраняется; рядом coverage and status</x:v>
      </x:c>
    </x:row>
    <x:row r="10" ht="62" customHeight="1">
      <x:c r="A10" s="21" t="str">
        <x:v>Input/output</x:v>
      </x:c>
      <x:c r="B10" s="21" t="str">
        <x:v>Provider reported usage counters; known subtotal and coverage</x:v>
      </x:c>
      <x:c r="C10" s="21" t="str">
        <x:v>Partial usage does not establish the full total</x:v>
      </x:c>
    </x:row>
    <x:row r="11" ht="62" customHeight="1">
      <x:c r="A11" s="21" t="str">
        <x:v>Reasoning tokens</x:v>
      </x:c>
      <x:c r="B11" s="21" t="str">
        <x:v>Subset of output if provider reports that accounting</x:v>
      </x:c>
      <x:c r="C11" s="21" t="str">
        <x:v>Не прибавляется ещё раз к output; неизвестный subtotal blank</x:v>
      </x:c>
    </x:row>
    <x:row r="12" ht="62" customHeight="1">
      <x:c r="A12" s="21" t="str">
        <x:v>TTFT клиентский</x:v>
      </x:c>
      <x:c r="B12" s="21" t="str">
        <x:v>First nonempty streaming delta at this client</x:v>
      </x:c>
      <x:c r="C12" s="21" t="str">
        <x:v>Includes transport; first answer may occur after reasoning</x:v>
      </x:c>
    </x:row>
    <x:row r="13" ht="62" customHeight="1">
      <x:c r="A13" s="21" t="str">
        <x:v>Native TTFT/tok/s</x:v>
      </x:c>
      <x:c r="B13" s="21" t="str">
        <x:v>Backend metric only when proven same request or saved aligned log</x:v>
      </x:c>
      <x:c r="C13" s="21" t="str">
        <x:v>Client approx TPS is a separate estimate; UNKNOWN not replaced</x:v>
      </x:c>
    </x:row>
    <x:row r="14" ht="62" customHeight="1">
      <x:c r="A14" s="21" t="str">
        <x:v>VRAM</x:v>
      </x:c>
      <x:c r="B14" s="21" t="str">
        <x:v>Sampled entire GPU MiB, not weight allocation</x:v>
      </x:c>
      <x:c r="C14" s="21" t="str">
        <x:v>Routing table peak applies to whole run, not individual policy</x:v>
      </x:c>
    </x:row>
    <x:row r="15" ht="62" customHeight="1">
      <x:c r="A15" s="21" t="str">
        <x:v>RAM</x:v>
      </x:c>
      <x:c r="B15" s="21" t="str">
        <x:v>Sampled entire system GiB</x:v>
      </x:c>
      <x:c r="C15" s="21" t="str">
        <x:v>Process RSS B is separate; missing reliable PID association remains blank</x:v>
      </x:c>
    </x:row>
    <x:row r="16" ht="62" customHeight="1">
      <x:c r="A16" s="21" t="str">
        <x:v>GPU offload</x:v>
      </x:c>
      <x:c r="B16" s="21" t="str">
        <x:v>Requested fraction/max/layers separate from actual backend layers</x:v>
      </x:c>
      <x:c r="C16" s="21" t="str">
        <x:v>LM Studio native model listing may omit actual offload config</x:v>
      </x:c>
    </x:row>
    <x:row r="17" ht="62" customHeight="1">
      <x:c r="A17" s="21" t="str">
        <x:v>Prefix/KV caching</x:v>
      </x:c>
      <x:c r="B17" s="21" t="str">
        <x:v>Native traces can report cache_n384 and reuse system-prefix KV</x:v>
      </x:c>
      <x:c r="C17" s="21" t="str">
        <x:v>No hidden warm-up does not mean cold requests; cache reuse is distinct from saved-answer replay</x:v>
      </x:c>
    </x:row>
    <x:row r="18" ht="62" customHeight="1">
      <x:c r="A18" s="21" t="str">
        <x:v>BitNet configurations</x:v>
      </x:c>
      <x:c r="B18" s="21" t="str">
        <x:v>Original legacy GGUF config and official-config compatibility alternative remain separate rows</x:v>
      </x:c>
      <x:c r="C18" s="21" t="str">
        <x:v>Do not pool N/tokens/quality/latency; runtime config is an extra experimental factor</x:v>
      </x:c>
    </x:row>
    <x:row r="19" ht="62" customHeight="1">
      <x:c r="A19" s="21" t="str">
        <x:v>Каталог files GiB</x:v>
      </x:c>
      <x:c r="B19" s="21" t="str">
        <x:v>Historical model directory can include mmproj/config files</x:v>
      </x:c>
      <x:c r="C19" s="21" t="str">
        <x:v>New Main weights GiB specifically main GGUF; don't equate them</x:v>
      </x:c>
    </x:row>
    <x:row r="20" ht="62" customHeight="1">
      <x:c r="A20" s="21" t="str">
        <x:v>Полная E2E latency</x:v>
      </x:c>
      <x:c r="B20" s="21" t="str">
        <x:v>Routing: router + gate + provider + resource guard</x:v>
      </x:c>
      <x:c r="C20" s="21" t="str">
        <x:v>All journaled decisions, including blocked/failed, use the same operational latency scope</x:v>
      </x:c>
    </x:row>
    <x:row r="21" ht="62" customHeight="1">
      <x:c r="A21" s="21" t="str">
        <x:v>Success latency</x:v>
      </x:c>
      <x:c r="B21" s="21" t="str">
        <x:v>MEASURED with output object and no final decision error</x:v>
      </x:c>
      <x:c r="C21" s="21" t="str">
        <x:v>Technical completion, not correct-answer latency; router fallback can still occur</x:v>
      </x:c>
    </x:row>
    <x:row r="22" ht="62" customHeight="1">
      <x:c r="A22" s="21" t="str">
        <x:v>Hosted Jev</x:v>
      </x:c>
      <x:c r="B22" s="21" t="str">
        <x:v>Counts as external request even if chosen generator is local</x:v>
      </x:c>
      <x:c r="C22" s="21" t="str">
        <x:v>Generative cloud calls and total external calls are distinct</x:v>
      </x:c>
    </x:row>
    <x:row r="23" ht="62" customHeight="1">
      <x:c r="A23" s="21" t="str">
        <x:v>Стоимость</x:v>
      </x:c>
      <x:c r="B23" s="21" t="str">
        <x:v>Known estimate/reported cost; unknown events retained</x:v>
      </x:c>
      <x:c r="C23" s="21" t="str">
        <x:v>Provider invoice/account ownership UNKNOWN; OpenRouter paid authorization$0</x:v>
      </x:c>
    </x:row>
    <x:row r="24" ht="62" customHeight="1">
      <x:c r="A24" s="21" t="str">
        <x:v>Offline</x:v>
      </x:c>
      <x:c r="B24" s="21" t="str">
        <x:v>Local Laya + LM Studio loopback; no hosted router/cloud</x:v>
      </x:c>
      <x:c r="C24" s="21" t="str">
        <x:v>Actual raw counters, not reused hosted answers</x:v>
      </x:c>
    </x:row>
    <x:row r="25" ht="62" customHeight="1">
      <x:c r="A25" s="21" t="str">
        <x:v>Исторический Excel</x:v>
      </x:c>
      <x:c r="B25" s="21" t="str">
        <x:v>Old XLSX immutableSHA 002619615be4d8a7a0f58409c15e8c15d1e10a02490830ff78ee27b84f79a04c</x:v>
      </x:c>
      <x:c r="C25" s="21" t="str">
        <x:v>All45 series retained; no original output edited</x:v>
      </x:c>
    </x:row>
    <x:row r="26" ht="62" customHeight="1">
      <x:c r="A26" s="21" t="str">
        <x:v>Исторические controls</x:v>
      </x:c>
      <x:c r="B26" s="21" t="str">
        <x:v>{"series": 45, "api_n": 242, "cli_n": 339, "api_input": 113332, "api_output": 17259, "cli_input": 135133, "cli_output": 39087}</x:v>
      </x:c>
      <x:c r="C26" s="21" t="str">
        <x:v>Source counters verified exactly</x:v>
      </x:c>
    </x:row>
    <x:row r="27" ht="62" customHeight="1">
      <x:c r="A27" s="21" t="str">
        <x:v>Дата создания UTC</x:v>
      </x:c>
      <x:c r="B27" s="21" t="str">
        <x:v>UTC 2026-10-02T19:32:08.371732+00:00</x:v>
      </x:c>
      <x:c r="C27" s="21" t="str">
        <x:v>Actual execution date; no backdating</x:v>
      </x:c>
    </x:row>
    <x:row r="28" ht="62" customHeight="1">
      <x:c r="A28" s="21" t="str">
        <x:v>Источники нового DEV</x:v>
      </x:c>
      <x:c r="B28" s="21" t="str">
        <x:v>results/20261002_180119Z_76283d02_prerouting_dev/analysis_20261002_181438Z_c3905087/summary.json</x:v>
      </x:c>
      <x:c r="C28" s="21" t="str">
        <x:v>8c5af8f2ac1a54c7017c1578674cd49be4e0824c6c33578e345e06a57b40d987</x:v>
      </x:c>
    </x:row>
    <x:row r="29" ht="62" customHeight="1">
      <x:c r="A29" s="21" t="str">
        <x:v>Источники моделей</x:v>
      </x:c>
      <x:c r="B29" s="21" t="str">
        <x:v>{"phi": "results/20261002T182246Z_0265fdd0_requested_local_dev/manifest.json", "qwen": "results/20261002T192227Z_63b6c1bf_requested_local_dev/manifest.json"}</x:v>
      </x:c>
      <x:c r="C29" s="21" t="str">
        <x:v>Each model row retains its own independent manifest and SHA256</x:v>
      </x:c>
    </x:row>
    <x:row r="30" ht="62" customHeight="1">
      <x:c r="A30" s="21" t="str">
        <x:v>Источники BitNet</x:v>
      </x:c>
      <x:c r="B30" s="21" t="str">
        <x:v>results/20261002T185320Z_1027a4c6_bitnet_native_dev/manifest.json</x:v>
      </x:c>
      <x:c r="C30" s="21" t="str">
        <x:v>af52b5ad2b6b684db9bd154221e333fdefb97dce9f9e2b5c0facd41e5e6ab559</x:v>
      </x:c>
    </x:row>
    <x:row r="31" ht="62" customHeight="1">
      <x:c r="A31" s="21" t="str">
        <x:v>Источники OpenRouter</x:v>
      </x:c>
      <x:c r="B31" s="21" t="str">
        <x:v>results/20261002_183639Z_openrouter_zero_diagnostic/current_21_model_matrix.json</x:v>
      </x:c>
      <x:c r="C31" s="21" t="str">
        <x:v>8d55fb8a347b7bac8a6974b076e0940ebfdeb18cc2ca41328dcf66b5fcb11251</x:v>
      </x:c>
    </x:row>
    <x:row r="32" ht="62" customHeight="1">
      <x:c r="A32" s="21" t="str">
        <x:v>BitNet official-config alternative</x:v>
      </x:c>
      <x:c r="B32" s="21" t="str">
        <x:v>results/20261002T191731Z_61e3e23d_bitnet_native_dev/manifest.json</x:v>
      </x:c>
      <x:c r="C32" s="21" t="str">
        <x:v>6319c5406901cf7055f50bb2876ec190498c0fd85207f9da24dabb3aa38ba63c</x:v>
      </x:c>
    </x:row>
    <x:row r="33" ht="62" customHeight="1">
      <x:c r="A33" s="21" t="str">
        <x:v>OpenRouter external accounting</x:v>
      </x:c>
      <x:c r="B33" s="21" t="str">
        <x:v>111 total = 107 GET metadata + 1 setup POST + 3 failed completions</x:v>
      </x:c>
      <x:c r="C33" s="21" t="str">
        <x:v>0 successful generations; failed diagnostic latency is not model generation speed</x:v>
      </x:c>
    </x:row>
    <x:row r="34" ht="62" customHeight="1">
      <x:c r="A34" s="21" t="str">
        <x:v>OpenRouter cost/token coverage</x:v>
      </x:c>
      <x:c r="B34" s="21" t="str">
        <x:v>{"known_cost_n": 0, "known_input_tokens_n": 0, "known_output_tokens_n": 0, "attempts_n": 3}</x:v>
      </x:c>
      <x:c r="C34" s="21" t="str">
        <x:v>No provider usage/cost evidence for three HTTP failures; paid cap$0; account aggregate does not establish individual billing</x:v>
      </x:c>
    </x:row>
    <x:row r="35" ht="62" customHeight="1">
      <x:c r="A35" s="21" t="str">
        <x:v>OpenRouter free quota</x:v>
      </x:c>
      <x:c r="B35" s="21" t="str">
        <x:v>{"used": 0, "limit": 50, "remaining": 50}</x:v>
      </x:c>
      <x:c r="C35" s="21" t="str">
        <x:v>Account-wide quota snapshot; no per-key rotation and no privacy preference change</x:v>
      </x:c>
    </x:row>
    <x:row r="36" ht="62" customHeight="1">
      <x:c r="A36" s="21" t="str">
        <x:v>phi native metrics auxiliary</x:v>
      </x:c>
      <x:c r="B36" s="21" t="str">
        <x:v>results/20261002T182246Z_0265fdd0_requested_local_dev/phi_backend_log_auxiliary.json</x:v>
      </x:c>
      <x:c r="C36" s="21" t="str">
        <x:v>c5515d9192c57f3f203a61dfae8581d1a0d07991caef66bd36b9ff9cac170f1b</x:v>
      </x:c>
    </x:row>
    <x:row r="37" ht="62" customHeight="1">
      <x:c r="A37" s="21" t="str">
        <x:v>qwen native metrics auxiliary</x:v>
      </x:c>
      <x:c r="B37" s="21" t="str">
        <x:v>results/20261002T192227Z_63b6c1bf_requested_local_dev/qwen_backend_log_auxiliary.json</x:v>
      </x:c>
      <x:c r="C37" s="21" t="str">
        <x:v>ffca0d7a1b03f0d5edabea68dbb6c7ba884cf42d14fc3807ae193925bc3df14b</x:v>
      </x:c>
    </x:row>
  </x:sheetData>
  <x:pageMargins left="0.7" right="0.7" top="0.75" bottom="0.75" header="0.3" footer="0.3"/>
  <x:tableParts count="1">
    <x:tablePart xmlns:r="http://schemas.openxmlformats.org/officeDocument/2006/relationships" r:id="Re0c7f43afb564f24"/>
  </x:tableParts>
</x:worksheet>
</file>
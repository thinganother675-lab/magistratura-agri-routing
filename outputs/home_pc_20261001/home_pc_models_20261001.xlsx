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a3187b261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b88e9e7b39b740c4"/>
    <x:sheet xmlns:r="http://schemas.openxmlformats.org/officeDocument/2006/relationships" name="Все прогоны" sheetId="2" r:id="Rddae9cf511044e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0"/>
    <x:numFmt numFmtId="203" formatCode="0.00"/>
  </x:numFmts>
  <x:fonts count="7">
    <x:font>
      <x:sz val="11"/>
      <x:name val="Carlito"/>
    </x:font>
    <x:font>
      <x:sz val="11"/>
      <x:color rgb="FF172B3A"/>
      <x:name val="Arial"/>
    </x:font>
    <x:font>
      <x:b/>
      <x:sz val="15"/>
      <x:color rgb="FF243F5B"/>
      <x:name val="Arial"/>
    </x:font>
    <x:font>
      <x:b/>
      <x:sz val="11"/>
      <x:color rgb="FFFFFFFF"/>
      <x:name val="Arial"/>
    </x:font>
    <x:font>
      <x:i/>
      <x:sz val="11"/>
      <x:color rgb="FF506477"/>
      <x:name val="Arial"/>
    </x:font>
    <x:font>
      <x:sz val="11"/>
      <x:color rgb="FF506477"/>
      <x:name val="Arial"/>
    </x:font>
    <x:font>
      <x:b/>
      <x:sz val="11"/>
      <x:color rgb="FF172B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B"/>
      </x:patternFill>
    </x:fill>
    <x:fill>
      <x:patternFill patternType="solid">
        <x:fgColor rgb="FFF2F5F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3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4">
    <x:dxf>
      <x:font>
        <x:color rgb="FF9D2C23"/>
      </x:font>
      <x:fill>
        <x:patternFill patternType="solid">
          <x:bgColor rgb="FFFCE8E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  <x:dxf>
      <x:font>
        <x:color rgb="FF825A12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7179a825ab4391" /><Relationship Type="http://schemas.openxmlformats.org/officeDocument/2006/relationships/theme" Target="/xl/theme/theme1.xml" Id="R61e9eb45121c4585" /><Relationship Type="http://schemas.openxmlformats.org/officeDocument/2006/relationships/sharedStrings" Target="/xl/sharedStrings.xml" Id="R4015a461e7d64131" /><Relationship Type="http://schemas.openxmlformats.org/officeDocument/2006/relationships/worksheet" Target="/xl/worksheets/sheet1.xml" Id="Rb88e9e7b39b740c4" /><Relationship Type="http://schemas.openxmlformats.org/officeDocument/2006/relationships/worksheet" Target="/xl/worksheets/sheet2.xml" Id="Rddae9cf511044e01" /></Relationships>
</file>

<file path=xl/tables/table1.xml><?xml version="1.0" encoding="utf-8"?>
<x:table xmlns:x="http://schemas.openxmlformats.org/spreadsheetml/2006/main" id="1" name="ModelSummary" displayName="ModelSummary" ref="A8:Y23" headerRowCount="1" totalsRowCount="0" totalsRowShown="0">
  <x:autoFilter ref="A8:Y23"/>
  <x:tableColumns count="25">
    <x:tableColumn id="1" name="Модель"/>
    <x:tableColumn id="2" name="Статус серии"/>
    <x:tableColumn id="3" name="N"/>
    <x:tableColumn id="4" name="Верно"/>
    <x:tableColumn id="5" name="Качество"/>
    <x:tableColumn id="6" name="Input tokens известно"/>
    <x:tableColumn id="7" name="Output tokens известно"/>
    <x:tableColumn id="8" name="Input coverage, N"/>
    <x:tableColumn id="9" name="Output coverage, N"/>
    <x:tableColumn id="10" name="p50, с"/>
    <x:tableColumn id="11" name="p95, с"/>
    <x:tableColumn id="12" name="Decode, tok/s"/>
    <x:tableColumn id="13" name="TTFT, с"/>
    <x:tableColumn id="14" name="VRAM total peak, MiB"/>
    <x:tableColumn id="15" name="VRAM total peak, GiB"/>
    <x:tableColumn id="16" name="RAM system peak, GiB"/>
    <x:tableColumn id="17" name="Файл, GiB"/>
    <x:tableColumn id="18" name="Квантование"/>
    <x:tableColumn id="19" name="Offload запрошен"/>
    <x:tableColumn id="20" name="Ошибки"/>
    <x:tableColumn id="21" name="Контекст запрошен"/>
    <x:tableColumn id="22" name="Parallel запрошен"/>
    <x:tableColumn id="23" name="Reasoning случаев"/>
    <x:tableColumn id="24" name="Источник серии"/>
    <x:tableColumn id="25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LocalRuns" displayName="AllLocalRuns" ref="A8:AB33" headerRowCount="1" totalsRowCount="0" totalsRowShown="0">
  <x:autoFilter ref="A8:AB33"/>
  <x:tableColumns count="28">
    <x:tableColumn id="1" name="Модель"/>
    <x:tableColumn id="2" name="Run ID"/>
    <x:tableColumn id="3" name="Выборка"/>
    <x:tableColumn id="4" name="N"/>
    <x:tableColumn id="5" name="Верно"/>
    <x:tableColumn id="6" name="Качество"/>
    <x:tableColumn id="7" name="Input tokens известно"/>
    <x:tableColumn id="8" name="Output tokens известно"/>
    <x:tableColumn id="9" name="Input coverage, N"/>
    <x:tableColumn id="10" name="Output coverage, N"/>
    <x:tableColumn id="11" name="p50, с"/>
    <x:tableColumn id="12" name="p95, с"/>
    <x:tableColumn id="13" name="Decode, tok/s"/>
    <x:tableColumn id="14" name="TTFT, с"/>
    <x:tableColumn id="15" name="VRAM total peak, MiB"/>
    <x:tableColumn id="16" name="VRAM total peak, GiB"/>
    <x:tableColumn id="17" name="RAM system peak, GiB"/>
    <x:tableColumn id="18" name="Файл, GiB"/>
    <x:tableColumn id="19" name="Квантование"/>
    <x:tableColumn id="20" name="Offload запрошен"/>
    <x:tableColumn id="21" name="Cloud calls"/>
    <x:tableColumn id="22" name="Загрузка завершена"/>
    <x:tableColumn id="23" name="Статус попытки"/>
    <x:tableColumn id="24" name="Контекст запрошен"/>
    <x:tableColumn id="25" name="Parallel запрошен"/>
    <x:tableColumn id="26" name="Reasoning случаев"/>
    <x:tableColumn id="27" name="Источник"/>
    <x:tableColumn id="28" name="Примеч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e10e67124945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0640d4f2514af7" /></Relationships>
</file>

<file path=xl/worksheets/sheet1.xml><?xml version="1.0" encoding="utf-8"?>
<x:worksheet xmlns:x="http://schemas.openxmlformats.org/spreadsheetml/2006/main">
  <x:sheetPr>
    <x:tabColor rgb="FF243F5B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44" hidden="0" customWidth="1"/>
    <x:col min="2" max="2" width="24" hidden="0" customWidth="1"/>
    <x:col min="3" max="3" width="7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2" hidden="0" customWidth="1"/>
    <x:col min="9" max="9" width="12" hidden="0" customWidth="1"/>
    <x:col min="10" max="10" width="11" hidden="0" customWidth="1"/>
    <x:col min="11" max="11" width="11" hidden="0" customWidth="1"/>
    <x:col min="12" max="12" width="13" hidden="0" customWidth="1"/>
    <x:col min="13" max="13" width="11" hidden="0" customWidth="1"/>
    <x:col min="14" max="14" width="15" hidden="0" customWidth="1"/>
    <x:col min="15" max="15" width="15" hidden="0" customWidth="1"/>
    <x:col min="16" max="16" width="15" hidden="0" customWidth="1"/>
    <x:col min="17" max="17" width="12" hidden="0" customWidth="1"/>
    <x:col min="18" max="18" width="15" hidden="0" customWidth="1"/>
    <x:col min="19" max="19" width="14" hidden="0" customWidth="1"/>
    <x:col min="20" max="20" width="12" hidden="0" customWidth="1"/>
    <x:col min="21" max="21" width="14" hidden="0" customWidth="1"/>
    <x:col min="22" max="22" width="13" hidden="0" customWidth="1"/>
    <x:col min="23" max="23" width="14" hidden="0" customWidth="1"/>
    <x:col min="24" max="24" width="60" hidden="0" customWidth="1"/>
    <x:col min="25" max="25" width="5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28" customHeight="1">
      <x:c r="A2" s="3" t="str">
        <x:v>Локальные модели: токены и память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23" customHeight="1">
      <x:c r="A3" s="32" t="str">
        <x:v>01.10.2026. Репрезентативная DEV-серия каждой модели. Независимый final holdout не выполнен.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1"/>
      <x:c r="AA3" s="31"/>
      <x:c r="AB3" s="31"/>
    </x:row>
    <x:row r="4" ht="30" customHeight="1">
      <x:c r="A4" s="30" t="str">
        <x:v>Моделей с сохранённым ответом</x:v>
      </x:c>
      <x:c r="B4" s="30" t="n">
        <x:f>COUNTIFS(C9:C23,"&gt;0")</x:f>
        <x:v>14</x:v>
      </x:c>
      <x:c r="C4" s="30"/>
      <x:c r="D4" s="30"/>
      <x:c r="E4" s="30"/>
      <x:c r="F4" s="30" t="str">
        <x:v>Статус и N важнее общей доли верных: выборки и ранние остановки различаются.</x:v>
      </x:c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1"/>
      <x:c r="AA4" s="31"/>
      <x:c r="AB4" s="31"/>
    </x:row>
    <x:row r="5" ht="30" customHeight="1">
      <x:c r="A5" s="30" t="str">
        <x:v>Всего проверено моделей</x:v>
      </x:c>
      <x:c r="B5" s="30" t="n">
        <x:v>15</x:v>
      </x:c>
      <x:c r="C5" s="30"/>
      <x:c r="D5" s="30"/>
      <x:c r="E5" s="30"/>
      <x:c r="F5" s="30" t="str">
        <x:v>Coverage — число запросов с известным счётчиком токенов; знаменатель — число запросов N.</x:v>
      </x:c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1"/>
      <x:c r="AA5" s="31"/>
      <x:c r="AB5" s="31"/>
    </x:row>
    <x:row r="6" ht="30" customHeight="1">
      <x:c r="A6" s="30" t="str">
        <x:v>CLI temperature/seed/max tokens UNKNOWN. Peak памяти включает весь GPU/ПК и измерен примерно раз в 0.5 с.</x:v>
      </x:c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1"/>
      <x:c r="AA6" s="31"/>
      <x:c r="AB6" s="31"/>
    </x:row>
    <x:row r="7" ht="1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ht="72" customHeight="1">
      <x:c r="A8" s="12" t="str">
        <x:v>Модель</x:v>
      </x:c>
      <x:c r="B8" s="13" t="str">
        <x:v>Статус серии</x:v>
      </x:c>
      <x:c r="C8" s="13" t="str">
        <x:v>N</x:v>
      </x:c>
      <x:c r="D8" s="13" t="str">
        <x:v>Верно</x:v>
      </x:c>
      <x:c r="E8" s="13" t="str">
        <x:v>Качество</x:v>
      </x:c>
      <x:c r="F8" s="13" t="str">
        <x:v>Input tokens известно</x:v>
      </x:c>
      <x:c r="G8" s="13" t="str">
        <x:v>Output tokens известно</x:v>
      </x:c>
      <x:c r="H8" s="13" t="str">
        <x:v>Input coverage, N</x:v>
      </x:c>
      <x:c r="I8" s="13" t="str">
        <x:v>Output coverage, N</x:v>
      </x:c>
      <x:c r="J8" s="13" t="str">
        <x:v>p50, с</x:v>
      </x:c>
      <x:c r="K8" s="13" t="str">
        <x:v>p95, с</x:v>
      </x:c>
      <x:c r="L8" s="13" t="str">
        <x:v>Decode, tok/s</x:v>
      </x:c>
      <x:c r="M8" s="13" t="str">
        <x:v>TTFT, с</x:v>
      </x:c>
      <x:c r="N8" s="13" t="str">
        <x:v>VRAM total peak, MiB</x:v>
      </x:c>
      <x:c r="O8" s="13" t="str">
        <x:v>VRAM total peak, GiB</x:v>
      </x:c>
      <x:c r="P8" s="13" t="str">
        <x:v>RAM system peak, GiB</x:v>
      </x:c>
      <x:c r="Q8" s="13" t="str">
        <x:v>Файл, GiB</x:v>
      </x:c>
      <x:c r="R8" s="13" t="str">
        <x:v>Квантование</x:v>
      </x:c>
      <x:c r="S8" s="13" t="str">
        <x:v>Offload запрошен</x:v>
      </x:c>
      <x:c r="T8" s="13" t="str">
        <x:v>Ошибки</x:v>
      </x:c>
      <x:c r="U8" s="13" t="str">
        <x:v>Контекст запрошен</x:v>
      </x:c>
      <x:c r="V8" s="13" t="str">
        <x:v>Parallel запрошен</x:v>
      </x:c>
      <x:c r="W8" s="13" t="str">
        <x:v>Reasoning случаев</x:v>
      </x:c>
      <x:c r="X8" s="13" t="str">
        <x:v>Источник серии</x:v>
      </x:c>
      <x:c r="Y8" s="14" t="str">
        <x:v>Примечание</x:v>
      </x:c>
    </x:row>
    <x:row r="9" ht="64" customHeight="1">
      <x:c r="A9" s="19" t="str">
        <x:v>qwen3.5-9b</x:v>
      </x:c>
      <x:c r="B9" s="19" t="str">
        <x:v>Досрочная остановка</x:v>
      </x:c>
      <x:c r="C9" s="21" t="n">
        <x:v>12</x:v>
      </x:c>
      <x:c r="D9" s="21" t="n">
        <x:v>4</x:v>
      </x:c>
      <x:c r="E9" s="23" t="n">
        <x:f>IF(C9&gt;0,D9/C9,"NOT RUN")</x:f>
        <x:v>0.3333333333333333</x:v>
      </x:c>
      <x:c r="F9" s="21" t="n">
        <x:v>5588</x:v>
      </x:c>
      <x:c r="G9" s="21" t="n">
        <x:v>348</x:v>
      </x:c>
      <x:c r="H9" s="21" t="n">
        <x:v>12</x:v>
      </x:c>
      <x:c r="I9" s="21" t="n">
        <x:v>12</x:v>
      </x:c>
      <x:c r="J9" s="25" t="n">
        <x:v>1.0526063500001328</x:v>
      </x:c>
      <x:c r="K9" s="25" t="n">
        <x:v>1.350949879999962</x:v>
      </x:c>
      <x:c r="L9" s="27" t="n">
        <x:v>42.94</x:v>
      </x:c>
      <x:c r="M9" s="25" t="n">
        <x:v>0.101</x:v>
      </x:c>
      <x:c r="N9" s="21" t="n">
        <x:v>11421</x:v>
      </x:c>
      <x:c r="O9" s="27" t="n">
        <x:f>IF(ISNUMBER(N9),N9/1024,"UNKNOWN")</x:f>
        <x:v>11.1533203125</x:v>
      </x:c>
      <x:c r="P9" s="27" t="n">
        <x:v>21.384536743164062</x:v>
      </x:c>
      <x:c r="Q9" s="27" t="n">
        <x:v>10.571967869997025</x:v>
      </x:c>
      <x:c r="R9" s="19" t="str">
        <x:v>Q8_0</x:v>
      </x:c>
      <x:c r="S9" s="19" t="str">
        <x:v>max</x:v>
      </x:c>
      <x:c r="T9" s="21" t="n">
        <x:v>4</x:v>
      </x:c>
      <x:c r="U9" s="21" t="n">
        <x:v>4096</x:v>
      </x:c>
      <x:c r="V9" s="21" t="n">
        <x:v>1</x:v>
      </x:c>
      <x:c r="W9" s="21" t="n">
        <x:v>0</x:v>
      </x:c>
      <x:c r="X9" s="19" t="str">
        <x:v>results/20261001_172204Z_9a16b3ba_cli/qwen3.5-9b_raw.jsonl</x:v>
      </x:c>
      <x:c r="Y9" s="19" t="str">
        <x:v>Раннее завершение после format errors. N отличается.</x:v>
      </x:c>
    </x:row>
    <x:row r="10" ht="64" customHeight="1">
      <x:c r="A10" s="20" t="str">
        <x:v>gemma-4-12b-it</x:v>
      </x:c>
      <x:c r="B10" s="20" t="str">
        <x:v>Досрочная остановка</x:v>
      </x:c>
      <x:c r="C10" s="22" t="n">
        <x:v>12</x:v>
      </x:c>
      <x:c r="D10" s="22" t="n">
        <x:v>4</x:v>
      </x:c>
      <x:c r="E10" s="24" t="n">
        <x:f>IF(C10&gt;0,D10/C10,"NOT RUN")</x:f>
        <x:v>0.3333333333333333</x:v>
      </x:c>
      <x:c r="F10" s="22" t="n">
        <x:v>5764</x:v>
      </x:c>
      <x:c r="G10" s="22" t="n">
        <x:v>406</x:v>
      </x:c>
      <x:c r="H10" s="22" t="n">
        <x:v>12</x:v>
      </x:c>
      <x:c r="I10" s="22" t="n">
        <x:v>12</x:v>
      </x:c>
      <x:c r="J10" s="26" t="n">
        <x:v>1.1963603999997758</x:v>
      </x:c>
      <x:c r="K10" s="26" t="n">
        <x:v>1.3826371500001187</x:v>
      </x:c>
      <x:c r="L10" s="28" t="n">
        <x:v>47.665000000000006</x:v>
      </x:c>
      <x:c r="M10" s="26" t="n">
        <x:v>0.192</x:v>
      </x:c>
      <x:c r="N10" s="22" t="n">
        <x:v>8593</x:v>
      </x:c>
      <x:c r="O10" s="28" t="n">
        <x:f>IF(ISNUMBER(N10),N10/1024,"UNKNOWN")</x:f>
        <x:v>8.3916015625</x:v>
      </x:c>
      <x:c r="P10" s="28" t="n">
        <x:v>18.24325180053711</x:v>
      </x:c>
      <x:c r="Q10" s="28" t="n">
        <x:v>6.495087593793869</x:v>
      </x:c>
      <x:c r="R10" s="20" t="str">
        <x:v>Q4_K_S</x:v>
      </x:c>
      <x:c r="S10" s="20" t="str">
        <x:v>max</x:v>
      </x:c>
      <x:c r="T10" s="22" t="n">
        <x:v>4</x:v>
      </x:c>
      <x:c r="U10" s="22" t="n">
        <x:v>4096</x:v>
      </x:c>
      <x:c r="V10" s="22" t="n">
        <x:v>1</x:v>
      </x:c>
      <x:c r="W10" s="22" t="n">
        <x:v>0</x:v>
      </x:c>
      <x:c r="X10" s="20" t="str">
        <x:v>results/20261001_172204Z_9a16b3ba_cli/gemma-4-12b-it_raw.jsonl</x:v>
      </x:c>
      <x:c r="Y10" s="20" t="str">
        <x:v>Раннее завершение после format errors. N отличается.</x:v>
      </x:c>
    </x:row>
    <x:row r="11" ht="64" customHeight="1">
      <x:c r="A11" s="19" t="str">
        <x:v>qwen3.8-27b</x:v>
      </x:c>
      <x:c r="B11" s="19" t="str">
        <x:v>DEV завершён</x:v>
      </x:c>
      <x:c r="C11" s="21" t="n">
        <x:v>36</x:v>
      </x:c>
      <x:c r="D11" s="21" t="n">
        <x:v>25</x:v>
      </x:c>
      <x:c r="E11" s="23" t="n">
        <x:f>IF(C11&gt;0,D11/C11,"NOT RUN")</x:f>
        <x:v>0.6944444444444444</x:v>
      </x:c>
      <x:c r="F11" s="21" t="n">
        <x:v>16486</x:v>
      </x:c>
      <x:c r="G11" s="21" t="n">
        <x:v>1100</x:v>
      </x:c>
      <x:c r="H11" s="21" t="n">
        <x:v>36</x:v>
      </x:c>
      <x:c r="I11" s="21" t="n">
        <x:v>36</x:v>
      </x:c>
      <x:c r="J11" s="25" t="n">
        <x:v>3.041815349999979</x:v>
      </x:c>
      <x:c r="K11" s="25" t="n">
        <x:v>4.450264724999897</x:v>
      </x:c>
      <x:c r="L11" s="27" t="n">
        <x:v>14.149999999999999</x:v>
      </x:c>
      <x:c r="M11" s="25" t="n">
        <x:v>0.7144999999999999</x:v>
      </x:c>
      <x:c r="N11" s="21" t="n">
        <x:v>15095</x:v>
      </x:c>
      <x:c r="O11" s="27" t="n">
        <x:f>IF(ISNUMBER(N11),N11/1024,"UNKNOWN")</x:f>
        <x:v>14.7412109375</x:v>
      </x:c>
      <x:c r="P11" s="27" t="n">
        <x:v>27.758312225341797</x:v>
      </x:c>
      <x:c r="Q11" s="27" t="n">
        <x:v>16.197610154747963</x:v>
      </x:c>
      <x:c r="R11" s="19" t="str">
        <x:v>Q4_K_M</x:v>
      </x:c>
      <x:c r="S11" s="19" t="str">
        <x:v>0.75</x:v>
      </x:c>
      <x:c r="T11" s="21" t="n">
        <x:v>0</x:v>
      </x:c>
      <x:c r="U11" s="21" t="n">
        <x:v>4096</x:v>
      </x:c>
      <x:c r="V11" s="21" t="n">
        <x:v>1</x:v>
      </x:c>
      <x:c r="W11" s="21" t="n">
        <x:v>0</x:v>
      </x:c>
      <x:c r="X11" s="19" t="str">
        <x:v>results/20261001_172204Z_9a16b3ba_cli/qwen3.8-27b_raw.jsonl</x:v>
      </x:c>
      <x:c r="Y11" s="19" t="str">
        <x:v>Расширенный DEV36. Сравнивать с той же выборкой.</x:v>
      </x:c>
    </x:row>
    <x:row r="12" ht="64" customHeight="1">
      <x:c r="A12" s="20" t="str">
        <x:v>qwen3.5-35b-a3b</x:v>
      </x:c>
      <x:c r="B12" s="20" t="str">
        <x:v>DEV завершён</x:v>
      </x:c>
      <x:c r="C12" s="22" t="n">
        <x:v>36</x:v>
      </x:c>
      <x:c r="D12" s="22" t="n">
        <x:v>19</x:v>
      </x:c>
      <x:c r="E12" s="24" t="n">
        <x:f>IF(C12&gt;0,D12/C12,"NOT RUN")</x:f>
        <x:v>0.5277777777777778</x:v>
      </x:c>
      <x:c r="F12" s="22" t="n">
        <x:v>16486</x:v>
      </x:c>
      <x:c r="G12" s="22" t="n">
        <x:v>1248</x:v>
      </x:c>
      <x:c r="H12" s="22" t="n">
        <x:v>36</x:v>
      </x:c>
      <x:c r="I12" s="22" t="n">
        <x:v>36</x:v>
      </x:c>
      <x:c r="J12" s="26" t="n">
        <x:v>1.992164799999955</x:v>
      </x:c>
      <x:c r="K12" s="26" t="n">
        <x:v>2.776555124999959</x:v>
      </x:c>
      <x:c r="L12" s="28" t="n">
        <x:v>28.755000000000003</x:v>
      </x:c>
      <x:c r="M12" s="26" t="n">
        <x:v>0.628</x:v>
      </x:c>
      <x:c r="N12" s="22" t="n">
        <x:v>14187</x:v>
      </x:c>
      <x:c r="O12" s="28" t="n">
        <x:f>IF(ISNUMBER(N12),N12/1024,"UNKNOWN")</x:f>
        <x:v>13.8544921875</x:v>
      </x:c>
      <x:c r="P12" s="28" t="n">
        <x:v>29.794475555419922</x:v>
      </x:c>
      <x:c r="Q12" s="28" t="n">
        <x:v>20.481590742245317</x:v>
      </x:c>
      <x:c r="R12" s="20" t="str">
        <x:v>Q4_K_L</x:v>
      </x:c>
      <x:c r="S12" s="20" t="str">
        <x:v>0.55</x:v>
      </x:c>
      <x:c r="T12" s="22" t="n">
        <x:v>0</x:v>
      </x:c>
      <x:c r="U12" s="22" t="n">
        <x:v>4096</x:v>
      </x:c>
      <x:c r="V12" s="22" t="n">
        <x:v>1</x:v>
      </x:c>
      <x:c r="W12" s="22" t="n">
        <x:v>0</x:v>
      </x:c>
      <x:c r="X12" s="20" t="str">
        <x:v>results/20261001_172204Z_9a16b3ba_cli/qwen3.5-35b-a3b_raw.jsonl</x:v>
      </x:c>
      <x:c r="Y12" s="20" t="str">
        <x:v>Расширенный DEV36. Сравнивать с той же выборкой.</x:v>
      </x:c>
    </x:row>
    <x:row r="13" ht="64" customHeight="1">
      <x:c r="A13" s="19" t="str">
        <x:v>gpt-oss-20b</x:v>
      </x:c>
      <x:c r="B13" s="19" t="str">
        <x:v>DEV завершён</x:v>
      </x:c>
      <x:c r="C13" s="21" t="n">
        <x:v>36</x:v>
      </x:c>
      <x:c r="D13" s="21" t="n">
        <x:v>28</x:v>
      </x:c>
      <x:c r="E13" s="23" t="n">
        <x:f>IF(C13&gt;0,D13/C13,"NOT RUN")</x:f>
        <x:v>0.7777777777777778</x:v>
      </x:c>
      <x:c r="F13" s="21" t="n">
        <x:v>16004</x:v>
      </x:c>
      <x:c r="G13" s="21" t="n">
        <x:v>14529</x:v>
      </x:c>
      <x:c r="H13" s="21" t="n">
        <x:v>33</x:v>
      </x:c>
      <x:c r="I13" s="21" t="n">
        <x:v>33</x:v>
      </x:c>
      <x:c r="J13" s="25" t="n">
        <x:v>3.6043354499997804</x:v>
      </x:c>
      <x:c r="K13" s="25" t="n">
        <x:v>8.53085677499962</x:v>
      </x:c>
      <x:c r="L13" s="27" t="n">
        <x:v>106.2</x:v>
      </x:c>
      <x:c r="M13" s="25" t="n">
        <x:v>0.072</x:v>
      </x:c>
      <x:c r="N13" s="21" t="n">
        <x:v>12478</x:v>
      </x:c>
      <x:c r="O13" s="27" t="n">
        <x:f>IF(ISNUMBER(N13),N13/1024,"UNKNOWN")</x:f>
        <x:v>12.185546875</x:v>
      </x:c>
      <x:c r="P13" s="27" t="n">
        <x:v>24.047252655029297</x:v>
      </x:c>
      <x:c r="Q13" s="27" t="n">
        <x:v>11.277914802543819</x:v>
      </x:c>
      <x:c r="R13" s="19" t="str">
        <x:v>Q8_0</x:v>
      </x:c>
      <x:c r="S13" s="19" t="str">
        <x:v>max</x:v>
      </x:c>
      <x:c r="T13" s="21" t="n">
        <x:v>3</x:v>
      </x:c>
      <x:c r="U13" s="21" t="n">
        <x:v>4096</x:v>
      </x:c>
      <x:c r="V13" s="21" t="n">
        <x:v>1</x:v>
      </x:c>
      <x:c r="W13" s="21" t="n">
        <x:v>36</x:v>
      </x:c>
      <x:c r="X13" s="19" t="str">
        <x:v>results/20261001_173130Z_dc97b1d6_cli/gpt-oss-20b_raw.jsonl</x:v>
      </x:c>
      <x:c r="Y13" s="19" t="str">
        <x:v>Расширенный DEV36. Сравнивать с той же выборкой. Tokens/tok/s включают reasoning; usage частичное.</x:v>
      </x:c>
    </x:row>
    <x:row r="14" ht="64" customHeight="1">
      <x:c r="A14" s="20" t="str">
        <x:v>minicpm5-1b</x:v>
      </x:c>
      <x:c r="B14" s="20" t="str">
        <x:v>Досрочная остановка</x:v>
      </x:c>
      <x:c r="C14" s="22" t="n">
        <x:v>7</x:v>
      </x:c>
      <x:c r="D14" s="22" t="n">
        <x:v>0</x:v>
      </x:c>
      <x:c r="E14" s="24" t="n">
        <x:f>IF(C14&gt;0,D14/C14,"NOT RUN")</x:f>
        <x:v>0</x:v>
      </x:c>
      <x:c r="F14" s="22" t="n">
        <x:v>3195</x:v>
      </x:c>
      <x:c r="G14" s="22" t="n">
        <x:v>315</x:v>
      </x:c>
      <x:c r="H14" s="22" t="n">
        <x:v>7</x:v>
      </x:c>
      <x:c r="I14" s="22" t="n">
        <x:v>7</x:v>
      </x:c>
      <x:c r="J14" s="26" t="n">
        <x:v>0.4055596999996851</x:v>
      </x:c>
      <x:c r="K14" s="26" t="n">
        <x:v>0.7239425700001445</x:v>
      </x:c>
      <x:c r="L14" s="28" t="n">
        <x:v>249.78</x:v>
      </x:c>
      <x:c r="M14" s="26" t="n">
        <x:v>0.011</x:v>
      </x:c>
      <x:c r="N14" s="22" t="n">
        <x:v>2241</x:v>
      </x:c>
      <x:c r="O14" s="28" t="n">
        <x:f>IF(ISNUMBER(N14),N14/1024,"UNKNOWN")</x:f>
        <x:v>2.1884765625</x:v>
      </x:c>
      <x:c r="P14" s="28" t="n">
        <x:v>12.56277084350586</x:v>
      </x:c>
      <x:c r="Q14" s="28" t="n">
        <x:v>1.0743077993392944</x:v>
      </x:c>
      <x:c r="R14" s="20" t="str">
        <x:v>Q8_0</x:v>
      </x:c>
      <x:c r="S14" s="20" t="str">
        <x:v>max</x:v>
      </x:c>
      <x:c r="T14" s="22" t="n">
        <x:v>4</x:v>
      </x:c>
      <x:c r="U14" s="22" t="n">
        <x:v>4096</x:v>
      </x:c>
      <x:c r="V14" s="22" t="n">
        <x:v>1</x:v>
      </x:c>
      <x:c r="W14" s="22" t="n">
        <x:v>0</x:v>
      </x:c>
      <x:c r="X14" s="20" t="str">
        <x:v>results/20261001_180022Z_4c3f0d40_cli/minicpm5-1b_raw.jsonl</x:v>
      </x:c>
      <x:c r="Y14" s="20" t="str">
        <x:v>Раннее завершение после format errors. N отличается.</x:v>
      </x:c>
    </x:row>
    <x:row r="15" ht="64" customHeight="1">
      <x:c r="A15" s="19" t="str">
        <x:v>webworld-8b-i1</x:v>
      </x:c>
      <x:c r="B15" s="19" t="str">
        <x:v>Досрочная остановка</x:v>
      </x:c>
      <x:c r="C15" s="21" t="n">
        <x:v>10</x:v>
      </x:c>
      <x:c r="D15" s="21" t="n">
        <x:v>2</x:v>
      </x:c>
      <x:c r="E15" s="23" t="n">
        <x:f>IF(C15&gt;0,D15/C15,"NOT RUN")</x:f>
        <x:v>0.2</x:v>
      </x:c>
      <x:c r="F15" s="21" t="n">
        <x:v>4664</x:v>
      </x:c>
      <x:c r="G15" s="21" t="n">
        <x:v>1181</x:v>
      </x:c>
      <x:c r="H15" s="21" t="n">
        <x:v>10</x:v>
      </x:c>
      <x:c r="I15" s="21" t="n">
        <x:v>10</x:v>
      </x:c>
      <x:c r="J15" s="25" t="n">
        <x:v>1.756168500000058</x:v>
      </x:c>
      <x:c r="K15" s="25" t="n">
        <x:v>5.413884925000228</x:v>
      </x:c>
      <x:c r="L15" s="27" t="n">
        <x:v>55.805</x:v>
      </x:c>
      <x:c r="M15" s="25" t="n">
        <x:v>0.044</x:v>
      </x:c>
      <x:c r="N15" s="21" t="n">
        <x:v>7810</x:v>
      </x:c>
      <x:c r="O15" s="27" t="n">
        <x:f>IF(ISNUMBER(N15),N15/1024,"UNKNOWN")</x:f>
        <x:v>7.626953125</x:v>
      </x:c>
      <x:c r="P15" s="27" t="n">
        <x:v>17.347034454345703</x:v>
      </x:c>
      <x:c r="Q15" s="27" t="n">
        <x:v>6.263983190059662</x:v>
      </x:c>
      <x:c r="R15" s="19" t="str">
        <x:v>Q6_K</x:v>
      </x:c>
      <x:c r="S15" s="19" t="str">
        <x:v>max</x:v>
      </x:c>
      <x:c r="T15" s="21" t="n">
        <x:v>4</x:v>
      </x:c>
      <x:c r="U15" s="21" t="n">
        <x:v>4096</x:v>
      </x:c>
      <x:c r="V15" s="21" t="n">
        <x:v>1</x:v>
      </x:c>
      <x:c r="W15" s="21" t="n">
        <x:v>0</x:v>
      </x:c>
      <x:c r="X15" s="19" t="str">
        <x:v>results/20261001_180022Z_4c3f0d40_cli/webworld-8b-i1_raw.jsonl</x:v>
      </x:c>
      <x:c r="Y15" s="19" t="str">
        <x:v>Раннее завершение после format errors. N отличается.</x:v>
      </x:c>
    </x:row>
    <x:row r="16" ht="64" customHeight="1">
      <x:c r="A16" s="20" t="str">
        <x:v>granite-4.1-8b</x:v>
      </x:c>
      <x:c r="B16" s="20" t="str">
        <x:v>Досрочная остановка</x:v>
      </x:c>
      <x:c r="C16" s="22" t="n">
        <x:v>6</x:v>
      </x:c>
      <x:c r="D16" s="22" t="n">
        <x:v>2</x:v>
      </x:c>
      <x:c r="E16" s="24" t="n">
        <x:f>IF(C16&gt;0,D16/C16,"NOT RUN")</x:f>
        <x:v>0.3333333333333333</x:v>
      </x:c>
      <x:c r="F16" s="22" t="n">
        <x:v>2708</x:v>
      </x:c>
      <x:c r="G16" s="22" t="n">
        <x:v>2053</x:v>
      </x:c>
      <x:c r="H16" s="22" t="n">
        <x:v>6</x:v>
      </x:c>
      <x:c r="I16" s="22" t="n">
        <x:v>6</x:v>
      </x:c>
      <x:c r="J16" s="26" t="n">
        <x:v>6.4512495499998295</x:v>
      </x:c>
      <x:c r="K16" s="26" t="n">
        <x:v>9.96037592499988</x:v>
      </x:c>
      <x:c r="L16" s="28" t="n">
        <x:v>64.135</x:v>
      </x:c>
      <x:c r="M16" s="26" t="n">
        <x:v>0.044</x:v>
      </x:c>
      <x:c r="N16" s="22" t="n">
        <x:v>6834</x:v>
      </x:c>
      <x:c r="O16" s="28" t="n">
        <x:f>IF(ISNUMBER(N16),N16/1024,"UNKNOWN")</x:f>
        <x:v>6.673828125</x:v>
      </x:c>
      <x:c r="P16" s="28" t="n">
        <x:v>16.28213882446289</x:v>
      </x:c>
      <x:c r="Q16" s="28" t="n">
        <x:v>4.980634093284607</x:v>
      </x:c>
      <x:c r="R16" s="20" t="str">
        <x:v>Q4_K_M</x:v>
      </x:c>
      <x:c r="S16" s="20" t="str">
        <x:v>max</x:v>
      </x:c>
      <x:c r="T16" s="22" t="n">
        <x:v>4</x:v>
      </x:c>
      <x:c r="U16" s="22" t="n">
        <x:v>4096</x:v>
      </x:c>
      <x:c r="V16" s="22" t="n">
        <x:v>1</x:v>
      </x:c>
      <x:c r="W16" s="22" t="n">
        <x:v>0</x:v>
      </x:c>
      <x:c r="X16" s="20" t="str">
        <x:v>results/20261001_180022Z_4c3f0d40_cli/granite-4.1-8b_raw.jsonl</x:v>
      </x:c>
      <x:c r="Y16" s="20" t="str">
        <x:v>Раннее завершение после format errors. N отличается.</x:v>
      </x:c>
    </x:row>
    <x:row r="17" ht="64" customHeight="1">
      <x:c r="A17" s="19" t="str">
        <x:v>dr-venus-4b-rl</x:v>
      </x:c>
      <x:c r="B17" s="19" t="str">
        <x:v>DEV завершён</x:v>
      </x:c>
      <x:c r="C17" s="21" t="n">
        <x:v>12</x:v>
      </x:c>
      <x:c r="D17" s="21" t="n">
        <x:v>6</x:v>
      </x:c>
      <x:c r="E17" s="23" t="n">
        <x:f>IF(C17&gt;0,D17/C17,"NOT RUN")</x:f>
        <x:v>0.5</x:v>
      </x:c>
      <x:c r="F17" s="21" t="n">
        <x:v>5474</x:v>
      </x:c>
      <x:c r="G17" s="21" t="n">
        <x:v>10449</x:v>
      </x:c>
      <x:c r="H17" s="21" t="n">
        <x:v>12</x:v>
      </x:c>
      <x:c r="I17" s="21" t="n">
        <x:v>12</x:v>
      </x:c>
      <x:c r="J17" s="25" t="n">
        <x:v>6.282724749999943</x:v>
      </x:c>
      <x:c r="K17" s="25" t="n">
        <x:v>23.025593920000112</x:v>
      </x:c>
      <x:c r="L17" s="27" t="n">
        <x:v>99.19999999999999</x:v>
      </x:c>
      <x:c r="M17" s="25" t="n">
        <x:v>0.026000000000000002</x:v>
      </x:c>
      <x:c r="N17" s="21" t="n">
        <x:v>4297</x:v>
      </x:c>
      <x:c r="O17" s="27" t="n">
        <x:f>IF(ISNUMBER(N17),N17/1024,"UNKNOWN")</x:f>
        <x:v>4.1962890625</x:v>
      </x:c>
      <x:c r="P17" s="27" t="n">
        <x:v>16.085159301757812</x:v>
      </x:c>
      <x:c r="Q17" s="27" t="n">
        <x:v>2.5295353829860687</x:v>
      </x:c>
      <x:c r="R17" s="19" t="str">
        <x:v>Q4_K_M</x:v>
      </x:c>
      <x:c r="S17" s="19" t="str">
        <x:v>max</x:v>
      </x:c>
      <x:c r="T17" s="21" t="n">
        <x:v>2</x:v>
      </x:c>
      <x:c r="U17" s="21" t="n">
        <x:v>4096</x:v>
      </x:c>
      <x:c r="V17" s="21" t="n">
        <x:v>1</x:v>
      </x:c>
      <x:c r="W17" s="21" t="n">
        <x:v>10</x:v>
      </x:c>
      <x:c r="X17" s="19" t="str">
        <x:v>results/20261001_180022Z_4c3f0d40_cli/dr-venus-4b-rl_raw.jsonl</x:v>
      </x:c>
      <x:c r="Y17" s="19" t="str">
        <x:v>Smoke DEV. Сравнивать одинаковые ID.</x:v>
      </x:c>
    </x:row>
    <x:row r="18" ht="64" customHeight="1">
      <x:c r="A18" s="20" t="str">
        <x:v>qwen3-vl-8b-instruct</x:v>
      </x:c>
      <x:c r="B18" s="20" t="str">
        <x:v>DEV завершён</x:v>
      </x:c>
      <x:c r="C18" s="22" t="n">
        <x:v>12</x:v>
      </x:c>
      <x:c r="D18" s="22" t="n">
        <x:v>4</x:v>
      </x:c>
      <x:c r="E18" s="24" t="n">
        <x:f>IF(C18&gt;0,D18/C18,"NOT RUN")</x:f>
        <x:v>0.3333333333333333</x:v>
      </x:c>
      <x:c r="F18" s="22" t="n">
        <x:v>5450</x:v>
      </x:c>
      <x:c r="G18" s="22" t="n">
        <x:v>315</x:v>
      </x:c>
      <x:c r="H18" s="22" t="n">
        <x:v>12</x:v>
      </x:c>
      <x:c r="I18" s="22" t="n">
        <x:v>12</x:v>
      </x:c>
      <x:c r="J18" s="26" t="n">
        <x:v>0.9643078000003698</x:v>
      </x:c>
      <x:c r="K18" s="26" t="n">
        <x:v>1.0362890549998611</x:v>
      </x:c>
      <x:c r="L18" s="28" t="n">
        <x:v>44.025</x:v>
      </x:c>
      <x:c r="M18" s="26" t="n">
        <x:v>0.0405</x:v>
      </x:c>
      <x:c r="N18" s="22" t="n">
        <x:v>11058</x:v>
      </x:c>
      <x:c r="O18" s="28" t="n">
        <x:f>IF(ISNUMBER(N18),N18/1024,"UNKNOWN")</x:f>
        <x:v>10.798828125</x:v>
      </x:c>
      <x:c r="P18" s="28" t="n">
        <x:v>19.6253662109375</x:v>
      </x:c>
      <x:c r="Q18" s="28" t="n">
        <x:v>9.190802723169327</x:v>
      </x:c>
      <x:c r="R18" s="20" t="str">
        <x:v>Q8_0</x:v>
      </x:c>
      <x:c r="S18" s="20" t="str">
        <x:v>max</x:v>
      </x:c>
      <x:c r="T18" s="22" t="n">
        <x:v>2</x:v>
      </x:c>
      <x:c r="U18" s="22" t="n">
        <x:v>4096</x:v>
      </x:c>
      <x:c r="V18" s="22" t="n">
        <x:v>1</x:v>
      </x:c>
      <x:c r="W18" s="22" t="n">
        <x:v>0</x:v>
      </x:c>
      <x:c r="X18" s="20" t="str">
        <x:v>results/20261001_180022Z_4c3f0d40_cli/qwen3-vl-8b-instruct_raw.jsonl</x:v>
      </x:c>
      <x:c r="Y18" s="20" t="str">
        <x:v>Smoke DEV. Сравнивать одинаковые ID.</x:v>
      </x:c>
    </x:row>
    <x:row r="19" ht="64" customHeight="1">
      <x:c r="A19" s="19" t="str">
        <x:v>qwen3-8b-deepseek-v3.2-speciale-distill</x:v>
      </x:c>
      <x:c r="B19" s="19" t="str">
        <x:v>Досрочная остановка</x:v>
      </x:c>
      <x:c r="C19" s="21" t="n">
        <x:v>9</x:v>
      </x:c>
      <x:c r="D19" s="21" t="n">
        <x:v>5</x:v>
      </x:c>
      <x:c r="E19" s="23" t="n">
        <x:f>IF(C19&gt;0,D19/C19,"NOT RUN")</x:f>
        <x:v>0.5555555555555556</x:v>
      </x:c>
      <x:c r="F19" s="21" t="n">
        <x:v>4231</x:v>
      </x:c>
      <x:c r="G19" s="21" t="n">
        <x:v>127</x:v>
      </x:c>
      <x:c r="H19" s="21" t="n">
        <x:v>9</x:v>
      </x:c>
      <x:c r="I19" s="21" t="n">
        <x:v>9</x:v>
      </x:c>
      <x:c r="J19" s="25" t="n">
        <x:v>0.6424010999999155</x:v>
      </x:c>
      <x:c r="K19" s="25" t="n">
        <x:v>2.351787419999709</x:v>
      </x:c>
      <x:c r="L19" s="27" t="n">
        <x:v>66.74</x:v>
      </x:c>
      <x:c r="M19" s="25" t="n">
        <x:v>0.039</x:v>
      </x:c>
      <x:c r="N19" s="21" t="n">
        <x:v>6343</x:v>
      </x:c>
      <x:c r="O19" s="27" t="n">
        <x:f>IF(ISNUMBER(N19),N19/1024,"UNKNOWN")</x:f>
        <x:v>6.1943359375</x:v>
      </x:c>
      <x:c r="P19" s="27" t="n">
        <x:v>16.442611694335938</x:v>
      </x:c>
      <x:c r="Q19" s="27" t="n">
        <x:v>4.682491015642881</x:v>
      </x:c>
      <x:c r="R19" s="19" t="str">
        <x:v>Q4_K_M</x:v>
      </x:c>
      <x:c r="S19" s="19" t="str">
        <x:v>max</x:v>
      </x:c>
      <x:c r="T19" s="21" t="n">
        <x:v>4</x:v>
      </x:c>
      <x:c r="U19" s="21" t="n">
        <x:v>4096</x:v>
      </x:c>
      <x:c r="V19" s="21" t="n">
        <x:v>1</x:v>
      </x:c>
      <x:c r="W19" s="21" t="n">
        <x:v>0</x:v>
      </x:c>
      <x:c r="X19" s="19" t="str">
        <x:v>results/20261001_180022Z_4c3f0d40_cli/qwen3-8b-deepseek-v3.2-speciale-distill_raw.jsonl</x:v>
      </x:c>
      <x:c r="Y19" s="19" t="str">
        <x:v>Раннее завершение после format errors. N отличается.</x:v>
      </x:c>
    </x:row>
    <x:row r="20" ht="64" customHeight="1">
      <x:c r="A20" s="20" t="str">
        <x:v>gemma-4-26b-a4b-it</x:v>
      </x:c>
      <x:c r="B20" s="20" t="str">
        <x:v>DEV завершён</x:v>
      </x:c>
      <x:c r="C20" s="22" t="n">
        <x:v>36</x:v>
      </x:c>
      <x:c r="D20" s="22" t="n">
        <x:v>21</x:v>
      </x:c>
      <x:c r="E20" s="24" t="n">
        <x:f>IF(C20&gt;0,D20/C20,"NOT RUN")</x:f>
        <x:v>0.5833333333333334</x:v>
      </x:c>
      <x:c r="F20" s="22" t="n">
        <x:v>17016</x:v>
      </x:c>
      <x:c r="G20" s="22" t="n">
        <x:v>1123</x:v>
      </x:c>
      <x:c r="H20" s="22" t="n">
        <x:v>36</x:v>
      </x:c>
      <x:c r="I20" s="22" t="n">
        <x:v>36</x:v>
      </x:c>
      <x:c r="J20" s="26" t="n">
        <x:v>1.471990850000111</x:v>
      </x:c>
      <x:c r="K20" s="26" t="n">
        <x:v>2.3624020749998635</x:v>
      </x:c>
      <x:c r="L20" s="28" t="n">
        <x:v>36.55</x:v>
      </x:c>
      <x:c r="M20" s="26" t="n">
        <x:v>0.4285</x:v>
      </x:c>
      <x:c r="N20" s="22" t="n">
        <x:v>13937</x:v>
      </x:c>
      <x:c r="O20" s="28" t="n">
        <x:f>IF(ISNUMBER(N20),N20/1024,"UNKNOWN")</x:f>
        <x:v>13.6103515625</x:v>
      </x:c>
      <x:c r="P20" s="28" t="n">
        <x:v>25.742290496826172</x:v>
      </x:c>
      <x:c r="Q20" s="28" t="n">
        <x:v>15.690822293050587</x:v>
      </x:c>
      <x:c r="R20" s="20" t="str">
        <x:v>IQ4_NL_XL</x:v>
      </x:c>
      <x:c r="S20" s="20" t="str">
        <x:v>0.70</x:v>
      </x:c>
      <x:c r="T20" s="22" t="n">
        <x:v>1</x:v>
      </x:c>
      <x:c r="U20" s="22" t="n">
        <x:v>4096</x:v>
      </x:c>
      <x:c r="V20" s="22" t="n">
        <x:v>1</x:v>
      </x:c>
      <x:c r="W20" s="22" t="n">
        <x:v>0</x:v>
      </x:c>
      <x:c r="X20" s="20" t="str">
        <x:v>results/20261001_181115Z_5bff1166_cli/gemma-4-26b-a4b-it_raw.jsonl</x:v>
      </x:c>
      <x:c r="Y20" s="20" t="str">
        <x:v>Расширенный DEV36. Сравнивать с той же выборкой.</x:v>
      </x:c>
    </x:row>
    <x:row r="21" ht="64" customHeight="1">
      <x:c r="A21" s="19" t="str">
        <x:v>qwen3-omni-30b-a3b-instruct</x:v>
      </x:c>
      <x:c r="B21" s="19" t="str">
        <x:v>DEV завершён</x:v>
      </x:c>
      <x:c r="C21" s="21" t="n">
        <x:v>12</x:v>
      </x:c>
      <x:c r="D21" s="21" t="n">
        <x:v>5</x:v>
      </x:c>
      <x:c r="E21" s="23" t="n">
        <x:f>IF(C21&gt;0,D21/C21,"NOT RUN")</x:f>
        <x:v>0.4166666666666667</x:v>
      </x:c>
      <x:c r="F21" s="21" t="n">
        <x:v>5498</x:v>
      </x:c>
      <x:c r="G21" s="21" t="n">
        <x:v>416</x:v>
      </x:c>
      <x:c r="H21" s="21" t="n">
        <x:v>12</x:v>
      </x:c>
      <x:c r="I21" s="21" t="n">
        <x:v>12</x:v>
      </x:c>
      <x:c r="J21" s="25" t="n">
        <x:v>1.7324643500001002</x:v>
      </x:c>
      <x:c r="K21" s="25" t="n">
        <x:v>2.2405316899998975</x:v>
      </x:c>
      <x:c r="L21" s="27" t="n">
        <x:v>36.989999999999995</x:v>
      </x:c>
      <x:c r="M21" s="25" t="n">
        <x:v>0.5265</x:v>
      </x:c>
      <x:c r="N21" s="21" t="n">
        <x:v>14947</x:v>
      </x:c>
      <x:c r="O21" s="27" t="n">
        <x:f>IF(ISNUMBER(N21),N21/1024,"UNKNOWN")</x:f>
        <x:v>14.5966796875</x:v>
      </x:c>
      <x:c r="P21" s="27" t="n">
        <x:v>28.733558654785156</x:v>
      </x:c>
      <x:c r="Q21" s="27" t="n">
        <x:v>19.33846578001976</x:v>
      </x:c>
      <x:c r="R21" s="19" t="str">
        <x:v>Q4_K_M</x:v>
      </x:c>
      <x:c r="S21" s="19" t="str">
        <x:v>0.60</x:v>
      </x:c>
      <x:c r="T21" s="21" t="n">
        <x:v>1</x:v>
      </x:c>
      <x:c r="U21" s="21" t="n">
        <x:v>4096</x:v>
      </x:c>
      <x:c r="V21" s="21" t="n">
        <x:v>1</x:v>
      </x:c>
      <x:c r="W21" s="21" t="n">
        <x:v>0</x:v>
      </x:c>
      <x:c r="X21" s="19" t="str">
        <x:v>results/20261001_180022Z_4c3f0d40_cli/qwen3-omni-30b-a3b-instruct_raw.jsonl</x:v>
      </x:c>
      <x:c r="Y21" s="19" t="str">
        <x:v>Smoke DEV. Сравнивать одинаковые ID.</x:v>
      </x:c>
    </x:row>
    <x:row r="22" ht="64" customHeight="1">
      <x:c r="A22" s="20" t="str">
        <x:v>qwen3.6-35b-a3b-uncensored-hauhaucs-aggressive</x:v>
      </x:c>
      <x:c r="B22" s="20" t="str">
        <x:v>Остановка по памяти</x:v>
      </x:c>
      <x:c r="C22" s="22" t="n">
        <x:v>1</x:v>
      </x:c>
      <x:c r="D22" s="22" t="n">
        <x:v>0</x:v>
      </x:c>
      <x:c r="E22" s="24" t="n">
        <x:f>IF(C22&gt;0,D22/C22,"NOT RUN")</x:f>
        <x:v>0</x:v>
      </x:c>
      <x:c r="F22" s="22" t="n">
        <x:v>539</x:v>
      </x:c>
      <x:c r="G22" s="22" t="n">
        <x:v>37</x:v>
      </x:c>
      <x:c r="H22" s="22" t="n">
        <x:v>1</x:v>
      </x:c>
      <x:c r="I22" s="22" t="n">
        <x:v>1</x:v>
      </x:c>
      <x:c r="J22" s="26" t="n">
        <x:v>3.5928320000002714</x:v>
      </x:c>
      <x:c r="K22" s="26" t="n">
        <x:v>3.5928320000002714</x:v>
      </x:c>
      <x:c r="L22" s="28" t="n">
        <x:v>31.12</x:v>
      </x:c>
      <x:c r="M22" s="26" t="n">
        <x:v>2.067</x:v>
      </x:c>
      <x:c r="N22" s="22" t="n">
        <x:v>13849</x:v>
      </x:c>
      <x:c r="O22" s="28" t="n">
        <x:f>IF(ISNUMBER(N22),N22/1024,"UNKNOWN")</x:f>
        <x:v>13.5244140625</x:v>
      </x:c>
      <x:c r="P22" s="28" t="n">
        <x:v>30.130714416503906</x:v>
      </x:c>
      <x:c r="Q22" s="28" t="n">
        <x:v>20.550602197647095</x:v>
      </x:c>
      <x:c r="R22" s="20" t="str">
        <x:v>Q4_K_M</x:v>
      </x:c>
      <x:c r="S22" s="20" t="str">
        <x:v>0.55</x:v>
      </x:c>
      <x:c r="T22" s="22" t="n">
        <x:v>0</x:v>
      </x:c>
      <x:c r="U22" s="22" t="n">
        <x:v>4096</x:v>
      </x:c>
      <x:c r="V22" s="22" t="n">
        <x:v>1</x:v>
      </x:c>
      <x:c r="W22" s="22" t="n">
        <x:v>0</x:v>
      </x:c>
      <x:c r="X22" s="20" t="str">
        <x:v>results/20261001_180022Z_4c3f0d40_cli/qwen3.6-35b-a3b-uncensored-hauhaucs-aggressive_raw.jsonl</x:v>
      </x:c>
      <x:c r="Y22" s="20" t="str">
        <x:v>Только 1 ответ. Затем RAM guard. Стабильность и качество не установлены.</x:v>
      </x:c>
    </x:row>
    <x:row r="23" ht="64" customHeight="1">
      <x:c r="A23" s="19" t="str">
        <x:v>qwen3-coder-next</x:v>
      </x:c>
      <x:c r="B23" s="19" t="str">
        <x:v>Инференс не выполнен</x:v>
      </x:c>
      <x:c r="C23" s="21" t="n">
        <x:v>0</x:v>
      </x:c>
      <x:c r="D23" s="21" t="str">
        <x:v>UNKNOWN</x:v>
      </x:c>
      <x:c r="E23" s="23" t="str">
        <x:f>IF(C23&gt;0,D23/C23,"NOT RUN")</x:f>
        <x:v>NOT RUN</x:v>
      </x:c>
      <x:c r="F23" s="21" t="str">
        <x:v>UNKNOWN</x:v>
      </x:c>
      <x:c r="G23" s="21" t="str">
        <x:v>UNKNOWN</x:v>
      </x:c>
      <x:c r="H23" s="21" t="n">
        <x:v>0</x:v>
      </x:c>
      <x:c r="I23" s="21" t="n">
        <x:v>0</x:v>
      </x:c>
      <x:c r="J23" s="25" t="str">
        <x:v>UNKNOWN</x:v>
      </x:c>
      <x:c r="K23" s="25" t="str">
        <x:v>UNKNOWN</x:v>
      </x:c>
      <x:c r="L23" s="27" t="str">
        <x:v>UNKNOWN</x:v>
      </x:c>
      <x:c r="M23" s="25" t="str">
        <x:v>UNKNOWN</x:v>
      </x:c>
      <x:c r="N23" s="21" t="str">
        <x:v>UNKNOWN</x:v>
      </x:c>
      <x:c r="O23" s="27" t="str">
        <x:f>IF(ISNUMBER(N23),N23/1024,"UNKNOWN")</x:f>
        <x:v>UNKNOWN</x:v>
      </x:c>
      <x:c r="P23" s="27" t="str">
        <x:v>UNKNOWN</x:v>
      </x:c>
      <x:c r="Q23" s="27" t="n">
        <x:v>31.031917572021484</x:v>
      </x:c>
      <x:c r="R23" s="19" t="str">
        <x:v>Q3_K_S</x:v>
      </x:c>
      <x:c r="S23" s="19" t="str">
        <x:v>0.35</x:v>
      </x:c>
      <x:c r="T23" s="21" t="str">
        <x:v>UNKNOWN</x:v>
      </x:c>
      <x:c r="U23" s="21" t="n">
        <x:v>4096</x:v>
      </x:c>
      <x:c r="V23" s="21" t="n">
        <x:v>1</x:v>
      </x:c>
      <x:c r="W23" s="21" t="str">
        <x:v>UNKNOWN</x:v>
      </x:c>
      <x:c r="X23" s="19" t="str">
        <x:v>results/20261001_181425Z_b95ae6f4_cli/manifest.json</x:v>
      </x:c>
      <x:c r="Y23" s="19" t="str">
        <x:v>Две незавершённые попытки: offload 0.40 и 0.35. Tokens NOT RUN.</x:v>
      </x:c>
    </x:row>
    <x:row r="26" ht="26" customHeight="1">
      <x:c r="A26" s="35" t="str">
        <x:v>Определения и ограничения</x:v>
      </x:c>
      <x:c r="B26" s="36" t="str"/>
      <x:c r="C26" s="34"/>
      <x:c r="D26" s="34"/>
      <x:c r="E26" s="34"/>
      <x:c r="F26" s="34"/>
      <x:c r="G26" s="34"/>
      <x:c r="H26" s="34"/>
      <x:c r="I26" s="34"/>
      <x:c r="J26" s="34"/>
    </x:row>
    <x:row r="27" ht="26" customHeight="1">
      <x:c r="A27" s="35" t="str">
        <x:v>Input / Output</x:v>
      </x:c>
      <x:c r="B27" s="36" t="str">
        <x:v>LM Studio CLI Prompt/Predicted tokens. При необходимости взяты сохранённые stats; текст по символам не пересчитывался.</x:v>
      </x:c>
      <x:c r="C27" s="34"/>
      <x:c r="D27" s="34"/>
      <x:c r="E27" s="34"/>
      <x:c r="F27" s="34"/>
      <x:c r="G27" s="34"/>
      <x:c r="H27" s="34"/>
      <x:c r="I27" s="34"/>
      <x:c r="J27" s="34"/>
    </x:row>
    <x:row r="28" ht="26" customHeight="1">
      <x:c r="A28" s="35" t="str">
        <x:v>Reasoning</x:v>
      </x:c>
      <x:c r="B28" s="36" t="str">
        <x:v>GPT-OSS включает reasoning в output tokens и decode speed. Раздельное число reasoning tokens UNKNOWN.</x:v>
      </x:c>
      <x:c r="C28" s="34"/>
      <x:c r="D28" s="34"/>
      <x:c r="E28" s="34"/>
      <x:c r="F28" s="34"/>
      <x:c r="G28" s="34"/>
      <x:c r="H28" s="34"/>
      <x:c r="I28" s="34"/>
      <x:c r="J28" s="34"/>
    </x:row>
    <x:row r="29" ht="26" customHeight="1">
      <x:c r="A29" s="35" t="str">
        <x:v>Память</x:v>
      </x:c>
      <x:c r="B29" s="36" t="str">
        <x:v>VRAM — весь GPU, RAM — вся система. Sampled peak может пропустить точный максимум. Это не память только модели.</x:v>
      </x:c>
      <x:c r="C29" s="34"/>
      <x:c r="D29" s="34"/>
      <x:c r="E29" s="34"/>
      <x:c r="F29" s="34"/>
      <x:c r="G29" s="34"/>
      <x:c r="H29" s="34"/>
      <x:c r="I29" s="34"/>
      <x:c r="J29" s="34"/>
    </x:row>
    <x:row r="30" ht="26" customHeight="1">
      <x:c r="A30" s="35" t="str">
        <x:v>Offload</x:v>
      </x:c>
      <x:c r="B30" s="36" t="str">
        <x:v>Запрошенный режим max или fraction. Фактически перенесённое число GPU layers UNKNOWN.</x:v>
      </x:c>
      <x:c r="C30" s="34"/>
      <x:c r="D30" s="34"/>
      <x:c r="E30" s="34"/>
      <x:c r="F30" s="34"/>
      <x:c r="G30" s="34"/>
      <x:c r="H30" s="34"/>
      <x:c r="I30" s="34"/>
      <x:c r="J30" s="34"/>
    </x:row>
    <x:row r="31" ht="26" customHeight="1">
      <x:c r="A31" s="35" t="str">
        <x:v>Неполные серии</x:v>
      </x:c>
      <x:c r="B31" s="36" t="str">
        <x:v>UNKNOWN означает отсутствие измерения. N=0 означает, что inference не выполнен. Coder не завершил загрузку.</x:v>
      </x:c>
      <x:c r="C31" s="34"/>
      <x:c r="D31" s="34"/>
      <x:c r="E31" s="34"/>
      <x:c r="F31" s="34"/>
      <x:c r="G31" s="34"/>
      <x:c r="H31" s="34"/>
      <x:c r="I31" s="34"/>
      <x:c r="J31" s="34"/>
    </x:row>
    <x:row r="32" ht="26" customHeight="1">
      <x:c r="A32" s="35" t="str">
        <x:v>Научный статус</x:v>
      </x:c>
      <x:c r="B32" s="36" t="str">
        <x:v>DEV only. Переводы QA human validation PENDING. Новые cloud/hybrid/final holdout результаты отсутствуют.</x:v>
      </x:c>
      <x:c r="C32" s="34"/>
      <x:c r="D32" s="34"/>
      <x:c r="E32" s="34"/>
      <x:c r="F32" s="34"/>
      <x:c r="G32" s="34"/>
      <x:c r="H32" s="34"/>
      <x:c r="I32" s="34"/>
      <x:c r="J32" s="34"/>
    </x:row>
    <x:row r="33" ht="26" customHeight="1">
      <x:c r="A33" s="35" t="str">
        <x:v>Источник агрегатов</x:v>
      </x:c>
      <x:c r="B33" s="36" t="str">
        <x:v>results/20261001_inventory_summary_3f4378ba/summary.json</x:v>
      </x:c>
      <x:c r="C33" s="34"/>
      <x:c r="D33" s="34"/>
      <x:c r="E33" s="34"/>
      <x:c r="F33" s="34"/>
      <x:c r="G33" s="34"/>
      <x:c r="H33" s="34"/>
      <x:c r="I33" s="34"/>
      <x:c r="J33" s="34"/>
    </x:row>
  </x:sheetData>
  <x:conditionalFormatting sqref="B9:B23">
    <x:cfRule type="containsText" dxfId="0" priority="1" operator="containsText" text="не выполнен"/>
    <x:cfRule type="containsText" dxfId="1" priority="2" operator="containsText" text="Остановка по памяти"/>
  </x:conditionalFormatting>
  <x:conditionalFormatting sqref="F9:G23">
    <x:cfRule type="containsText" dxfId="2" priority="3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d4e10e671249450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44" hidden="0" customWidth="1"/>
    <x:col min="2" max="2" width="39" hidden="0" customWidth="1"/>
    <x:col min="3" max="3" width="18" hidden="0" customWidth="1"/>
    <x:col min="4" max="4" width="7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  <x:col min="9" max="9" width="12" hidden="0" customWidth="1"/>
    <x:col min="10" max="10" width="12" hidden="0" customWidth="1"/>
    <x:col min="11" max="11" width="11" hidden="0" customWidth="1"/>
    <x:col min="12" max="12" width="11" hidden="0" customWidth="1"/>
    <x:col min="13" max="13" width="13" hidden="0" customWidth="1"/>
    <x:col min="14" max="14" width="11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5" hidden="0" customWidth="1"/>
    <x:col min="20" max="20" width="14" hidden="0" customWidth="1"/>
    <x:col min="21" max="21" width="12" hidden="0" customWidth="1"/>
    <x:col min="22" max="22" width="17" hidden="0" customWidth="1"/>
    <x:col min="23" max="23" width="22" hidden="0" customWidth="1"/>
    <x:col min="24" max="24" width="14" hidden="0" customWidth="1"/>
    <x:col min="25" max="25" width="13" hidden="0" customWidth="1"/>
    <x:col min="26" max="26" width="13" hidden="0" customWidth="1"/>
    <x:col min="27" max="27" width="60" hidden="0" customWidth="1"/>
    <x:col min="28" max="28" width="58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8" customHeight="1">
      <x:c r="A2" s="3" t="str">
        <x:v>Все сохранённые локальные серии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3" customHeight="1">
      <x:c r="A3" s="32" t="str">
        <x:v>01.10.2026. Агрегат Run ID × модель. Повторные DEV-ответы не являются независимыми тестовыми наблюдениями.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</x:row>
    <x:row r="4" ht="30" customHeight="1">
      <x:c r="A4" s="30" t="str">
        <x:v>Сохранено запросов</x:v>
      </x:c>
      <x:c r="B4" s="33" t="n">
        <x:f>SUM(D9:D33)</x:f>
        <x:v>339</x:v>
      </x:c>
      <x:c r="C4" s="30"/>
      <x:c r="D4" s="30"/>
      <x:c r="E4" s="30"/>
      <x:c r="F4" s="30" t="str">
        <x:f>"Input coverage: "&amp;SUM(I9:I33)&amp;"/"&amp;SUM(D9:D33)&amp;". Output coverage: "&amp;SUM(J9:J33)&amp;"/"&amp;SUM(D9:D33)</x:f>
        <x:v>Input coverage: 286/339. Output coverage: 286/339</x:v>
      </x:c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</x:row>
    <x:row r="5" ht="30" customHeight="1">
      <x:c r="A5" s="30" t="str">
        <x:v>Известно input tokens</x:v>
      </x:c>
      <x:c r="B5" s="33" t="n">
        <x:f>SUM(G9:G33)</x:f>
        <x:v>135133</x:v>
      </x:c>
      <x:c r="C5" s="30"/>
      <x:c r="D5" s="30"/>
      <x:c r="E5" s="30"/>
      <x:c r="F5" s="30" t="str">
        <x:f>"Local-only. Облачных вызовов: "&amp;SUM(U9:U33)&amp;". API billing отсутствует; энергия и время ПК не оценены."</x:f>
        <x:v>Local-only. Облачных вызовов: 0. API billing отсутствует; энергия и время ПК не оценены.</x:v>
      </x:c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</x:row>
    <x:row r="6" ht="30" customHeight="1">
      <x:c r="A6" s="30" t="str">
        <x:v>Известно output tokens</x:v>
      </x:c>
      <x:c r="B6" s="33" t="n">
        <x:f>SUM(H9:H33)</x:f>
        <x:v>39087</x:v>
      </x:c>
      <x:c r="C6" s="30"/>
      <x:c r="D6" s="30"/>
      <x:c r="E6" s="30"/>
      <x:c r="F6" s="30" t="str">
        <x:v>48 первых diagnostic requests не имеют stats. Известные суммы — нижняя доступная сумма, не полный расход.</x:v>
      </x:c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</x:row>
    <x:row r="7" ht="1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</x:row>
    <x:row r="8" ht="72" customHeight="1">
      <x:c r="A8" s="12" t="str">
        <x:v>Модель</x:v>
      </x:c>
      <x:c r="B8" s="13" t="str">
        <x:v>Run ID</x:v>
      </x:c>
      <x:c r="C8" s="13" t="str">
        <x:v>Выборка</x:v>
      </x:c>
      <x:c r="D8" s="13" t="str">
        <x:v>N</x:v>
      </x:c>
      <x:c r="E8" s="13" t="str">
        <x:v>Верно</x:v>
      </x:c>
      <x:c r="F8" s="13" t="str">
        <x:v>Качество</x:v>
      </x:c>
      <x:c r="G8" s="13" t="str">
        <x:v>Input tokens известно</x:v>
      </x:c>
      <x:c r="H8" s="13" t="str">
        <x:v>Output tokens известно</x:v>
      </x:c>
      <x:c r="I8" s="13" t="str">
        <x:v>Input coverage, N</x:v>
      </x:c>
      <x:c r="J8" s="13" t="str">
        <x:v>Output coverage, N</x:v>
      </x:c>
      <x:c r="K8" s="13" t="str">
        <x:v>p50, с</x:v>
      </x:c>
      <x:c r="L8" s="13" t="str">
        <x:v>p95, с</x:v>
      </x:c>
      <x:c r="M8" s="13" t="str">
        <x:v>Decode, tok/s</x:v>
      </x:c>
      <x:c r="N8" s="13" t="str">
        <x:v>TTFT, с</x:v>
      </x:c>
      <x:c r="O8" s="13" t="str">
        <x:v>VRAM total peak, MiB</x:v>
      </x:c>
      <x:c r="P8" s="13" t="str">
        <x:v>VRAM total peak, GiB</x:v>
      </x:c>
      <x:c r="Q8" s="13" t="str">
        <x:v>RAM system peak, GiB</x:v>
      </x:c>
      <x:c r="R8" s="13" t="str">
        <x:v>Файл, GiB</x:v>
      </x:c>
      <x:c r="S8" s="13" t="str">
        <x:v>Квантование</x:v>
      </x:c>
      <x:c r="T8" s="13" t="str">
        <x:v>Offload запрошен</x:v>
      </x:c>
      <x:c r="U8" s="13" t="str">
        <x:v>Cloud calls</x:v>
      </x:c>
      <x:c r="V8" s="13" t="str">
        <x:v>Загрузка завершена</x:v>
      </x:c>
      <x:c r="W8" s="13" t="str">
        <x:v>Статус попытки</x:v>
      </x:c>
      <x:c r="X8" s="13" t="str">
        <x:v>Контекст запрошен</x:v>
      </x:c>
      <x:c r="Y8" s="13" t="str">
        <x:v>Parallel запрошен</x:v>
      </x:c>
      <x:c r="Z8" s="13" t="str">
        <x:v>Reasoning случаев</x:v>
      </x:c>
      <x:c r="AA8" s="13" t="str">
        <x:v>Источник</x:v>
      </x:c>
      <x:c r="AB8" s="14" t="str">
        <x:v>Примечание</x:v>
      </x:c>
    </x:row>
    <x:row r="9" ht="64" customHeight="1">
      <x:c r="A9" s="19" t="str">
        <x:v>qwen3.5-9b</x:v>
      </x:c>
      <x:c r="B9" s="19" t="str">
        <x:v>20261001_171700Z_39c83511_cli</x:v>
      </x:c>
      <x:c r="C9" s="19" t="str">
        <x:v>Исходный DEV</x:v>
      </x:c>
      <x:c r="D9" s="21" t="n">
        <x:v>12</x:v>
      </x:c>
      <x:c r="E9" s="21" t="n">
        <x:v>4</x:v>
      </x:c>
      <x:c r="F9" s="23" t="n">
        <x:f>IF(D9&gt;0,E9/D9,"NOT RUN")</x:f>
        <x:v>0.3333333333333333</x:v>
      </x:c>
      <x:c r="G9" s="21" t="str">
        <x:v>UNKNOWN</x:v>
      </x:c>
      <x:c r="H9" s="21" t="str">
        <x:v>UNKNOWN</x:v>
      </x:c>
      <x:c r="I9" s="21" t="n">
        <x:v>0</x:v>
      </x:c>
      <x:c r="J9" s="21" t="n">
        <x:v>0</x:v>
      </x:c>
      <x:c r="K9" s="25" t="n">
        <x:v>1.0561560500000269</x:v>
      </x:c>
      <x:c r="L9" s="25" t="n">
        <x:v>1.4400403949999825</x:v>
      </x:c>
      <x:c r="M9" s="27" t="str">
        <x:v>UNKNOWN</x:v>
      </x:c>
      <x:c r="N9" s="25" t="str">
        <x:v>UNKNOWN</x:v>
      </x:c>
      <x:c r="O9" s="21" t="n">
        <x:v>11421</x:v>
      </x:c>
      <x:c r="P9" s="27" t="n">
        <x:f>IF(ISNUMBER(O9),O9/1024,"UNKNOWN")</x:f>
        <x:v>11.1533203125</x:v>
      </x:c>
      <x:c r="Q9" s="27" t="n">
        <x:v>23.446380615234375</x:v>
      </x:c>
      <x:c r="R9" s="27" t="n">
        <x:v>10.571967869997025</x:v>
      </x:c>
      <x:c r="S9" s="19" t="str">
        <x:v>Q8_0</x:v>
      </x:c>
      <x:c r="T9" s="19" t="str">
        <x:v>max</x:v>
      </x:c>
      <x:c r="U9" s="21" t="n">
        <x:v>0</x:v>
      </x:c>
      <x:c r="V9" s="19" t="str">
        <x:v>Да</x:v>
      </x:c>
      <x:c r="W9" s="19" t="str">
        <x:v>Серия сохранена</x:v>
      </x:c>
      <x:c r="X9" s="21" t="n">
        <x:v>4096</x:v>
      </x:c>
      <x:c r="Y9" s="21" t="n">
        <x:v>1</x:v>
      </x:c>
      <x:c r="Z9" s="21" t="n">
        <x:v>0</x:v>
      </x:c>
      <x:c r="AA9" s="19" t="str">
        <x:v>results/20261001_171700Z_39c83511_cli/qwen3.5-9b_raw.jsonl</x:v>
      </x:c>
      <x:c r="AB9" s="19" t="str">
        <x:v>Старый DEV, без final test90. Stats отсутствуют. Расход UNKNOWN.</x:v>
      </x:c>
    </x:row>
    <x:row r="10" ht="64" customHeight="1">
      <x:c r="A10" s="20" t="str">
        <x:v>gemma-4-12b-it</x:v>
      </x:c>
      <x:c r="B10" s="20" t="str">
        <x:v>20261001_171700Z_39c83511_cli</x:v>
      </x:c>
      <x:c r="C10" s="20" t="str">
        <x:v>Исходный DEV</x:v>
      </x:c>
      <x:c r="D10" s="22" t="n">
        <x:v>12</x:v>
      </x:c>
      <x:c r="E10" s="22" t="n">
        <x:v>4</x:v>
      </x:c>
      <x:c r="F10" s="24" t="n">
        <x:f>IF(D10&gt;0,E10/D10,"NOT RUN")</x:f>
        <x:v>0.3333333333333333</x:v>
      </x:c>
      <x:c r="G10" s="22" t="str">
        <x:v>UNKNOWN</x:v>
      </x:c>
      <x:c r="H10" s="22" t="str">
        <x:v>UNKNOWN</x:v>
      </x:c>
      <x:c r="I10" s="22" t="n">
        <x:v>0</x:v>
      </x:c>
      <x:c r="J10" s="22" t="n">
        <x:v>0</x:v>
      </x:c>
      <x:c r="K10" s="26" t="n">
        <x:v>1.1550714000002245</x:v>
      </x:c>
      <x:c r="L10" s="26" t="n">
        <x:v>2.3571923100000034</x:v>
      </x:c>
      <x:c r="M10" s="28" t="str">
        <x:v>UNKNOWN</x:v>
      </x:c>
      <x:c r="N10" s="26" t="str">
        <x:v>UNKNOWN</x:v>
      </x:c>
      <x:c r="O10" s="22" t="n">
        <x:v>8599</x:v>
      </x:c>
      <x:c r="P10" s="28" t="n">
        <x:f>IF(ISNUMBER(O10),O10/1024,"UNKNOWN")</x:f>
        <x:v>8.3974609375</x:v>
      </x:c>
      <x:c r="Q10" s="28" t="n">
        <x:v>19.99095916748047</x:v>
      </x:c>
      <x:c r="R10" s="28" t="n">
        <x:v>6.495087593793869</x:v>
      </x:c>
      <x:c r="S10" s="20" t="str">
        <x:v>Q4_K_S</x:v>
      </x:c>
      <x:c r="T10" s="20" t="str">
        <x:v>max</x:v>
      </x:c>
      <x:c r="U10" s="22" t="n">
        <x:v>0</x:v>
      </x:c>
      <x:c r="V10" s="20" t="str">
        <x:v>Да</x:v>
      </x:c>
      <x:c r="W10" s="20" t="str">
        <x:v>Досрочная остановка</x:v>
      </x:c>
      <x:c r="X10" s="22" t="n">
        <x:v>4096</x:v>
      </x:c>
      <x:c r="Y10" s="22" t="n">
        <x:v>1</x:v>
      </x:c>
      <x:c r="Z10" s="22" t="n">
        <x:v>0</x:v>
      </x:c>
      <x:c r="AA10" s="20" t="str">
        <x:v>results/20261001_171700Z_39c83511_cli/gemma-4-12b-it_raw.jsonl</x:v>
      </x:c>
      <x:c r="AB10" s="20" t="str">
        <x:v>Старый DEV, без final test90. Stats отсутствуют. Расход UNKNOWN.</x:v>
      </x:c>
    </x:row>
    <x:row r="11" ht="64" customHeight="1">
      <x:c r="A11" s="19" t="str">
        <x:v>qwen3.8-27b</x:v>
      </x:c>
      <x:c r="B11" s="19" t="str">
        <x:v>20261001_171700Z_39c83511_cli</x:v>
      </x:c>
      <x:c r="C11" s="19" t="str">
        <x:v>Исходный DEV</x:v>
      </x:c>
      <x:c r="D11" s="21" t="n">
        <x:v>12</x:v>
      </x:c>
      <x:c r="E11" s="21" t="n">
        <x:v>9</x:v>
      </x:c>
      <x:c r="F11" s="23" t="n">
        <x:f>IF(D11&gt;0,E11/D11,"NOT RUN")</x:f>
        <x:v>0.75</x:v>
      </x:c>
      <x:c r="G11" s="21" t="str">
        <x:v>UNKNOWN</x:v>
      </x:c>
      <x:c r="H11" s="21" t="str">
        <x:v>UNKNOWN</x:v>
      </x:c>
      <x:c r="I11" s="21" t="n">
        <x:v>0</x:v>
      </x:c>
      <x:c r="J11" s="21" t="n">
        <x:v>0</x:v>
      </x:c>
      <x:c r="K11" s="25" t="n">
        <x:v>3.1221266499999274</x:v>
      </x:c>
      <x:c r="L11" s="25" t="n">
        <x:v>6.046302595000043</x:v>
      </x:c>
      <x:c r="M11" s="27" t="str">
        <x:v>UNKNOWN</x:v>
      </x:c>
      <x:c r="N11" s="25" t="str">
        <x:v>UNKNOWN</x:v>
      </x:c>
      <x:c r="O11" s="21" t="n">
        <x:v>15091</x:v>
      </x:c>
      <x:c r="P11" s="27" t="n">
        <x:f>IF(ISNUMBER(O11),O11/1024,"UNKNOWN")</x:f>
        <x:v>14.7373046875</x:v>
      </x:c>
      <x:c r="Q11" s="27" t="n">
        <x:v>28.0845947265625</x:v>
      </x:c>
      <x:c r="R11" s="27" t="n">
        <x:v>16.197610154747963</x:v>
      </x:c>
      <x:c r="S11" s="19" t="str">
        <x:v>Q4_K_M</x:v>
      </x:c>
      <x:c r="T11" s="19" t="str">
        <x:v>0.75</x:v>
      </x:c>
      <x:c r="U11" s="21" t="n">
        <x:v>0</x:v>
      </x:c>
      <x:c r="V11" s="19" t="str">
        <x:v>Да</x:v>
      </x:c>
      <x:c r="W11" s="19" t="str">
        <x:v>Серия сохранена</x:v>
      </x:c>
      <x:c r="X11" s="21" t="n">
        <x:v>4096</x:v>
      </x:c>
      <x:c r="Y11" s="21" t="n">
        <x:v>1</x:v>
      </x:c>
      <x:c r="Z11" s="21" t="n">
        <x:v>0</x:v>
      </x:c>
      <x:c r="AA11" s="19" t="str">
        <x:v>results/20261001_171700Z_39c83511_cli/qwen3.8-27b_raw.jsonl</x:v>
      </x:c>
      <x:c r="AB11" s="19" t="str">
        <x:v>Старый DEV, без final test90. Stats отсутствуют. Расход UNKNOWN.</x:v>
      </x:c>
    </x:row>
    <x:row r="12" ht="64" customHeight="1">
      <x:c r="A12" s="20" t="str">
        <x:v>qwen3.5-35b-a3b</x:v>
      </x:c>
      <x:c r="B12" s="20" t="str">
        <x:v>20261001_171700Z_39c83511_cli</x:v>
      </x:c>
      <x:c r="C12" s="20" t="str">
        <x:v>Исходный DEV</x:v>
      </x:c>
      <x:c r="D12" s="22" t="n">
        <x:v>12</x:v>
      </x:c>
      <x:c r="E12" s="22" t="n">
        <x:v>7</x:v>
      </x:c>
      <x:c r="F12" s="24" t="n">
        <x:f>IF(D12&gt;0,E12/D12,"NOT RUN")</x:f>
        <x:v>0.5833333333333334</x:v>
      </x:c>
      <x:c r="G12" s="22" t="str">
        <x:v>UNKNOWN</x:v>
      </x:c>
      <x:c r="H12" s="22" t="str">
        <x:v>UNKNOWN</x:v>
      </x:c>
      <x:c r="I12" s="22" t="n">
        <x:v>0</x:v>
      </x:c>
      <x:c r="J12" s="22" t="n">
        <x:v>0</x:v>
      </x:c>
      <x:c r="K12" s="26" t="n">
        <x:v>2.1182916000000205</x:v>
      </x:c>
      <x:c r="L12" s="26" t="n">
        <x:v>5.825602805000081</x:v>
      </x:c>
      <x:c r="M12" s="28" t="str">
        <x:v>UNKNOWN</x:v>
      </x:c>
      <x:c r="N12" s="26" t="str">
        <x:v>UNKNOWN</x:v>
      </x:c>
      <x:c r="O12" s="22" t="n">
        <x:v>13967</x:v>
      </x:c>
      <x:c r="P12" s="28" t="n">
        <x:f>IF(ISNUMBER(O12),O12/1024,"UNKNOWN")</x:f>
        <x:v>13.6396484375</x:v>
      </x:c>
      <x:c r="Q12" s="28" t="n">
        <x:v>30.110130310058594</x:v>
      </x:c>
      <x:c r="R12" s="28" t="n">
        <x:v>20.481590742245317</x:v>
      </x:c>
      <x:c r="S12" s="20" t="str">
        <x:v>Q4_K_L</x:v>
      </x:c>
      <x:c r="T12" s="20" t="str">
        <x:v>0.55</x:v>
      </x:c>
      <x:c r="U12" s="22" t="n">
        <x:v>0</x:v>
      </x:c>
      <x:c r="V12" s="20" t="str">
        <x:v>Да</x:v>
      </x:c>
      <x:c r="W12" s="20" t="str">
        <x:v>Серия сохранена</x:v>
      </x:c>
      <x:c r="X12" s="22" t="n">
        <x:v>4096</x:v>
      </x:c>
      <x:c r="Y12" s="22" t="n">
        <x:v>1</x:v>
      </x:c>
      <x:c r="Z12" s="22" t="n">
        <x:v>0</x:v>
      </x:c>
      <x:c r="AA12" s="20" t="str">
        <x:v>results/20261001_171700Z_39c83511_cli/qwen3.5-35b-a3b_raw.jsonl</x:v>
      </x:c>
      <x:c r="AB12" s="20" t="str">
        <x:v>Старый DEV, без final test90. Stats отсутствуют. Расход UNKNOWN.</x:v>
      </x:c>
    </x:row>
    <x:row r="13" ht="64" customHeight="1">
      <x:c r="A13" s="19" t="str">
        <x:v>qwen3.5-9b</x:v>
      </x:c>
      <x:c r="B13" s="19" t="str">
        <x:v>20261001_172204Z_9a16b3ba_cli</x:v>
      </x:c>
      <x:c r="C13" s="19" t="str">
        <x:v>Исходный DEV</x:v>
      </x:c>
      <x:c r="D13" s="21" t="n">
        <x:v>12</x:v>
      </x:c>
      <x:c r="E13" s="21" t="n">
        <x:v>4</x:v>
      </x:c>
      <x:c r="F13" s="23" t="n">
        <x:f>IF(D13&gt;0,E13/D13,"NOT RUN")</x:f>
        <x:v>0.3333333333333333</x:v>
      </x:c>
      <x:c r="G13" s="21" t="n">
        <x:v>5588</x:v>
      </x:c>
      <x:c r="H13" s="21" t="n">
        <x:v>348</x:v>
      </x:c>
      <x:c r="I13" s="21" t="n">
        <x:v>12</x:v>
      </x:c>
      <x:c r="J13" s="21" t="n">
        <x:v>12</x:v>
      </x:c>
      <x:c r="K13" s="25" t="n">
        <x:v>1.0526063500001328</x:v>
      </x:c>
      <x:c r="L13" s="25" t="n">
        <x:v>1.350949879999962</x:v>
      </x:c>
      <x:c r="M13" s="27" t="n">
        <x:v>42.94</x:v>
      </x:c>
      <x:c r="N13" s="25" t="n">
        <x:v>0.101</x:v>
      </x:c>
      <x:c r="O13" s="21" t="n">
        <x:v>11421</x:v>
      </x:c>
      <x:c r="P13" s="27" t="n">
        <x:f>IF(ISNUMBER(O13),O13/1024,"UNKNOWN")</x:f>
        <x:v>11.1533203125</x:v>
      </x:c>
      <x:c r="Q13" s="27" t="n">
        <x:v>21.384536743164062</x:v>
      </x:c>
      <x:c r="R13" s="27" t="n">
        <x:v>10.571967869997025</x:v>
      </x:c>
      <x:c r="S13" s="19" t="str">
        <x:v>Q8_0</x:v>
      </x:c>
      <x:c r="T13" s="19" t="str">
        <x:v>max</x:v>
      </x:c>
      <x:c r="U13" s="21" t="n">
        <x:v>0</x:v>
      </x:c>
      <x:c r="V13" s="19" t="str">
        <x:v>Да</x:v>
      </x:c>
      <x:c r="W13" s="19" t="str">
        <x:v>Досрочная остановка</x:v>
      </x:c>
      <x:c r="X13" s="21" t="n">
        <x:v>4096</x:v>
      </x:c>
      <x:c r="Y13" s="21" t="n">
        <x:v>1</x:v>
      </x:c>
      <x:c r="Z13" s="21" t="n">
        <x:v>0</x:v>
      </x:c>
      <x:c r="AA13" s="19" t="str">
        <x:v>results/20261001_172204Z_9a16b3ba_cli/qwen3.5-9b_raw.jsonl</x:v>
      </x:c>
      <x:c r="AB13" s="19" t="str">
        <x:v>Старый DEV, без final test90.</x:v>
      </x:c>
    </x:row>
    <x:row r="14" ht="64" customHeight="1">
      <x:c r="A14" s="20" t="str">
        <x:v>gemma-4-12b-it</x:v>
      </x:c>
      <x:c r="B14" s="20" t="str">
        <x:v>20261001_172204Z_9a16b3ba_cli</x:v>
      </x:c>
      <x:c r="C14" s="20" t="str">
        <x:v>Исходный DEV</x:v>
      </x:c>
      <x:c r="D14" s="22" t="n">
        <x:v>12</x:v>
      </x:c>
      <x:c r="E14" s="22" t="n">
        <x:v>4</x:v>
      </x:c>
      <x:c r="F14" s="24" t="n">
        <x:f>IF(D14&gt;0,E14/D14,"NOT RUN")</x:f>
        <x:v>0.3333333333333333</x:v>
      </x:c>
      <x:c r="G14" s="22" t="n">
        <x:v>5764</x:v>
      </x:c>
      <x:c r="H14" s="22" t="n">
        <x:v>406</x:v>
      </x:c>
      <x:c r="I14" s="22" t="n">
        <x:v>12</x:v>
      </x:c>
      <x:c r="J14" s="22" t="n">
        <x:v>12</x:v>
      </x:c>
      <x:c r="K14" s="26" t="n">
        <x:v>1.1963603999997758</x:v>
      </x:c>
      <x:c r="L14" s="26" t="n">
        <x:v>1.3826371500001187</x:v>
      </x:c>
      <x:c r="M14" s="28" t="n">
        <x:v>47.665000000000006</x:v>
      </x:c>
      <x:c r="N14" s="26" t="n">
        <x:v>0.192</x:v>
      </x:c>
      <x:c r="O14" s="22" t="n">
        <x:v>8593</x:v>
      </x:c>
      <x:c r="P14" s="28" t="n">
        <x:f>IF(ISNUMBER(O14),O14/1024,"UNKNOWN")</x:f>
        <x:v>8.3916015625</x:v>
      </x:c>
      <x:c r="Q14" s="28" t="n">
        <x:v>18.24325180053711</x:v>
      </x:c>
      <x:c r="R14" s="28" t="n">
        <x:v>6.495087593793869</x:v>
      </x:c>
      <x:c r="S14" s="20" t="str">
        <x:v>Q4_K_S</x:v>
      </x:c>
      <x:c r="T14" s="20" t="str">
        <x:v>max</x:v>
      </x:c>
      <x:c r="U14" s="22" t="n">
        <x:v>0</x:v>
      </x:c>
      <x:c r="V14" s="20" t="str">
        <x:v>Да</x:v>
      </x:c>
      <x:c r="W14" s="20" t="str">
        <x:v>Досрочная остановка</x:v>
      </x:c>
      <x:c r="X14" s="22" t="n">
        <x:v>4096</x:v>
      </x:c>
      <x:c r="Y14" s="22" t="n">
        <x:v>1</x:v>
      </x:c>
      <x:c r="Z14" s="22" t="n">
        <x:v>0</x:v>
      </x:c>
      <x:c r="AA14" s="20" t="str">
        <x:v>results/20261001_172204Z_9a16b3ba_cli/gemma-4-12b-it_raw.jsonl</x:v>
      </x:c>
      <x:c r="AB14" s="20" t="str">
        <x:v>Старый DEV, без final test90.</x:v>
      </x:c>
    </x:row>
    <x:row r="15" ht="64" customHeight="1">
      <x:c r="A15" s="19" t="str">
        <x:v>qwen3.8-27b</x:v>
      </x:c>
      <x:c r="B15" s="19" t="str">
        <x:v>20261001_172204Z_9a16b3ba_cli</x:v>
      </x:c>
      <x:c r="C15" s="19" t="str">
        <x:v>Исходный DEV</x:v>
      </x:c>
      <x:c r="D15" s="21" t="n">
        <x:v>36</x:v>
      </x:c>
      <x:c r="E15" s="21" t="n">
        <x:v>25</x:v>
      </x:c>
      <x:c r="F15" s="23" t="n">
        <x:f>IF(D15&gt;0,E15/D15,"NOT RUN")</x:f>
        <x:v>0.6944444444444444</x:v>
      </x:c>
      <x:c r="G15" s="21" t="n">
        <x:v>16486</x:v>
      </x:c>
      <x:c r="H15" s="21" t="n">
        <x:v>1100</x:v>
      </x:c>
      <x:c r="I15" s="21" t="n">
        <x:v>36</x:v>
      </x:c>
      <x:c r="J15" s="21" t="n">
        <x:v>36</x:v>
      </x:c>
      <x:c r="K15" s="25" t="n">
        <x:v>3.041815349999979</x:v>
      </x:c>
      <x:c r="L15" s="25" t="n">
        <x:v>4.450264724999897</x:v>
      </x:c>
      <x:c r="M15" s="27" t="n">
        <x:v>14.149999999999999</x:v>
      </x:c>
      <x:c r="N15" s="25" t="n">
        <x:v>0.7144999999999999</x:v>
      </x:c>
      <x:c r="O15" s="21" t="n">
        <x:v>15095</x:v>
      </x:c>
      <x:c r="P15" s="27" t="n">
        <x:f>IF(ISNUMBER(O15),O15/1024,"UNKNOWN")</x:f>
        <x:v>14.7412109375</x:v>
      </x:c>
      <x:c r="Q15" s="27" t="n">
        <x:v>27.758312225341797</x:v>
      </x:c>
      <x:c r="R15" s="27" t="n">
        <x:v>16.197610154747963</x:v>
      </x:c>
      <x:c r="S15" s="19" t="str">
        <x:v>Q4_K_M</x:v>
      </x:c>
      <x:c r="T15" s="19" t="str">
        <x:v>0.75</x:v>
      </x:c>
      <x:c r="U15" s="21" t="n">
        <x:v>0</x:v>
      </x:c>
      <x:c r="V15" s="19" t="str">
        <x:v>Да</x:v>
      </x:c>
      <x:c r="W15" s="19" t="str">
        <x:v>Серия сохранена</x:v>
      </x:c>
      <x:c r="X15" s="21" t="n">
        <x:v>4096</x:v>
      </x:c>
      <x:c r="Y15" s="21" t="n">
        <x:v>1</x:v>
      </x:c>
      <x:c r="Z15" s="21" t="n">
        <x:v>0</x:v>
      </x:c>
      <x:c r="AA15" s="19" t="str">
        <x:v>results/20261001_172204Z_9a16b3ba_cli/qwen3.8-27b_raw.jsonl</x:v>
      </x:c>
      <x:c r="AB15" s="19" t="str">
        <x:v>Старый DEV, без final test90.</x:v>
      </x:c>
    </x:row>
    <x:row r="16" ht="64" customHeight="1">
      <x:c r="A16" s="20" t="str">
        <x:v>qwen3.5-35b-a3b</x:v>
      </x:c>
      <x:c r="B16" s="20" t="str">
        <x:v>20261001_172204Z_9a16b3ba_cli</x:v>
      </x:c>
      <x:c r="C16" s="20" t="str">
        <x:v>Исходный DEV</x:v>
      </x:c>
      <x:c r="D16" s="22" t="n">
        <x:v>36</x:v>
      </x:c>
      <x:c r="E16" s="22" t="n">
        <x:v>19</x:v>
      </x:c>
      <x:c r="F16" s="24" t="n">
        <x:f>IF(D16&gt;0,E16/D16,"NOT RUN")</x:f>
        <x:v>0.5277777777777778</x:v>
      </x:c>
      <x:c r="G16" s="22" t="n">
        <x:v>16486</x:v>
      </x:c>
      <x:c r="H16" s="22" t="n">
        <x:v>1248</x:v>
      </x:c>
      <x:c r="I16" s="22" t="n">
        <x:v>36</x:v>
      </x:c>
      <x:c r="J16" s="22" t="n">
        <x:v>36</x:v>
      </x:c>
      <x:c r="K16" s="26" t="n">
        <x:v>1.992164799999955</x:v>
      </x:c>
      <x:c r="L16" s="26" t="n">
        <x:v>2.776555124999959</x:v>
      </x:c>
      <x:c r="M16" s="28" t="n">
        <x:v>28.755000000000003</x:v>
      </x:c>
      <x:c r="N16" s="26" t="n">
        <x:v>0.628</x:v>
      </x:c>
      <x:c r="O16" s="22" t="n">
        <x:v>14187</x:v>
      </x:c>
      <x:c r="P16" s="28" t="n">
        <x:f>IF(ISNUMBER(O16),O16/1024,"UNKNOWN")</x:f>
        <x:v>13.8544921875</x:v>
      </x:c>
      <x:c r="Q16" s="28" t="n">
        <x:v>29.794475555419922</x:v>
      </x:c>
      <x:c r="R16" s="28" t="n">
        <x:v>20.481590742245317</x:v>
      </x:c>
      <x:c r="S16" s="20" t="str">
        <x:v>Q4_K_L</x:v>
      </x:c>
      <x:c r="T16" s="20" t="str">
        <x:v>0.55</x:v>
      </x:c>
      <x:c r="U16" s="22" t="n">
        <x:v>0</x:v>
      </x:c>
      <x:c r="V16" s="20" t="str">
        <x:v>Да</x:v>
      </x:c>
      <x:c r="W16" s="20" t="str">
        <x:v>Серия сохранена</x:v>
      </x:c>
      <x:c r="X16" s="22" t="n">
        <x:v>4096</x:v>
      </x:c>
      <x:c r="Y16" s="22" t="n">
        <x:v>1</x:v>
      </x:c>
      <x:c r="Z16" s="22" t="n">
        <x:v>0</x:v>
      </x:c>
      <x:c r="AA16" s="20" t="str">
        <x:v>results/20261001_172204Z_9a16b3ba_cli/qwen3.5-35b-a3b_raw.jsonl</x:v>
      </x:c>
      <x:c r="AB16" s="20" t="str">
        <x:v>Старый DEV, без final test90.</x:v>
      </x:c>
    </x:row>
    <x:row r="17" ht="64" customHeight="1">
      <x:c r="A17" s="19" t="str">
        <x:v>gpt-oss-20b</x:v>
      </x:c>
      <x:c r="B17" s="19" t="str">
        <x:v>20261001_172853Z_ede0f9c9_cli</x:v>
      </x:c>
      <x:c r="C17" s="19" t="str">
        <x:v>Исходный DEV</x:v>
      </x:c>
      <x:c r="D17" s="21" t="n">
        <x:v>6</x:v>
      </x:c>
      <x:c r="E17" s="21" t="n">
        <x:v>0</x:v>
      </x:c>
      <x:c r="F17" s="23" t="n">
        <x:f>IF(D17&gt;0,E17/D17,"NOT RUN")</x:f>
        <x:v>0</x:v>
      </x:c>
      <x:c r="G17" s="21" t="n">
        <x:v>2983</x:v>
      </x:c>
      <x:c r="H17" s="21" t="n">
        <x:v>2469</x:v>
      </x:c>
      <x:c r="I17" s="21" t="n">
        <x:v>6</x:v>
      </x:c>
      <x:c r="J17" s="21" t="n">
        <x:v>6</x:v>
      </x:c>
      <x:c r="K17" s="25" t="n">
        <x:v>4.112187400000039</x:v>
      </x:c>
      <x:c r="L17" s="25" t="n">
        <x:v>6.884399224999697</x:v>
      </x:c>
      <x:c r="M17" s="27" t="n">
        <x:v>106.69</x:v>
      </x:c>
      <x:c r="N17" s="25" t="n">
        <x:v>0.069</x:v>
      </x:c>
      <x:c r="O17" s="21" t="n">
        <x:v>12453</x:v>
      </x:c>
      <x:c r="P17" s="27" t="n">
        <x:f>IF(ISNUMBER(O17),O17/1024,"UNKNOWN")</x:f>
        <x:v>12.1611328125</x:v>
      </x:c>
      <x:c r="Q17" s="27" t="n">
        <x:v>24.01510238647461</x:v>
      </x:c>
      <x:c r="R17" s="27" t="n">
        <x:v>11.277914802543819</x:v>
      </x:c>
      <x:c r="S17" s="19" t="str">
        <x:v>Q8_0</x:v>
      </x:c>
      <x:c r="T17" s="19" t="str">
        <x:v>max</x:v>
      </x:c>
      <x:c r="U17" s="21" t="n">
        <x:v>0</x:v>
      </x:c>
      <x:c r="V17" s="19" t="str">
        <x:v>Да</x:v>
      </x:c>
      <x:c r="W17" s="19" t="str">
        <x:v>Досрочная остановка</x:v>
      </x:c>
      <x:c r="X17" s="21" t="n">
        <x:v>4096</x:v>
      </x:c>
      <x:c r="Y17" s="21" t="n">
        <x:v>1</x:v>
      </x:c>
      <x:c r="Z17" s="21" t="n">
        <x:v>0</x:v>
      </x:c>
      <x:c r="AA17" s="19" t="str">
        <x:v>results/20261001_172853Z_ede0f9c9_cli/gpt-oss-20b_raw.jsonl</x:v>
      </x:c>
      <x:c r="AB17" s="19" t="str">
        <x:v>Старый DEV, без final test90. Output и tok/s включают reasoning. Диагностика reasoning adapter, вне основного ranking.</x:v>
      </x:c>
    </x:row>
    <x:row r="18" ht="64" customHeight="1">
      <x:c r="A18" s="20" t="str">
        <x:v>gpt-oss-20b</x:v>
      </x:c>
      <x:c r="B18" s="20" t="str">
        <x:v>20261001_173130Z_dc97b1d6_cli</x:v>
      </x:c>
      <x:c r="C18" s="20" t="str">
        <x:v>Исходный DEV</x:v>
      </x:c>
      <x:c r="D18" s="22" t="n">
        <x:v>36</x:v>
      </x:c>
      <x:c r="E18" s="22" t="n">
        <x:v>28</x:v>
      </x:c>
      <x:c r="F18" s="24" t="n">
        <x:f>IF(D18&gt;0,E18/D18,"NOT RUN")</x:f>
        <x:v>0.7777777777777778</x:v>
      </x:c>
      <x:c r="G18" s="22" t="n">
        <x:v>16004</x:v>
      </x:c>
      <x:c r="H18" s="22" t="n">
        <x:v>14529</x:v>
      </x:c>
      <x:c r="I18" s="22" t="n">
        <x:v>33</x:v>
      </x:c>
      <x:c r="J18" s="22" t="n">
        <x:v>33</x:v>
      </x:c>
      <x:c r="K18" s="26" t="n">
        <x:v>3.6043354499997804</x:v>
      </x:c>
      <x:c r="L18" s="26" t="n">
        <x:v>8.53085677499962</x:v>
      </x:c>
      <x:c r="M18" s="28" t="n">
        <x:v>106.2</x:v>
      </x:c>
      <x:c r="N18" s="26" t="n">
        <x:v>0.072</x:v>
      </x:c>
      <x:c r="O18" s="22" t="n">
        <x:v>12478</x:v>
      </x:c>
      <x:c r="P18" s="28" t="n">
        <x:f>IF(ISNUMBER(O18),O18/1024,"UNKNOWN")</x:f>
        <x:v>12.185546875</x:v>
      </x:c>
      <x:c r="Q18" s="28" t="n">
        <x:v>24.047252655029297</x:v>
      </x:c>
      <x:c r="R18" s="28" t="n">
        <x:v>11.277914802543819</x:v>
      </x:c>
      <x:c r="S18" s="20" t="str">
        <x:v>Q8_0</x:v>
      </x:c>
      <x:c r="T18" s="20" t="str">
        <x:v>max</x:v>
      </x:c>
      <x:c r="U18" s="22" t="n">
        <x:v>0</x:v>
      </x:c>
      <x:c r="V18" s="20" t="str">
        <x:v>Да</x:v>
      </x:c>
      <x:c r="W18" s="20" t="str">
        <x:v>Серия сохранена</x:v>
      </x:c>
      <x:c r="X18" s="22" t="n">
        <x:v>4096</x:v>
      </x:c>
      <x:c r="Y18" s="22" t="n">
        <x:v>1</x:v>
      </x:c>
      <x:c r="Z18" s="22" t="n">
        <x:v>36</x:v>
      </x:c>
      <x:c r="AA18" s="20" t="str">
        <x:v>results/20261001_173130Z_dc97b1d6_cli/gpt-oss-20b_raw.jsonl</x:v>
      </x:c>
      <x:c r="AB18" s="20" t="str">
        <x:v>Старый DEV, без final test90. Output и tok/s включают reasoning.</x:v>
      </x:c>
    </x:row>
    <x:row r="19" ht="64" customHeight="1">
      <x:c r="A19" s="19" t="str">
        <x:v>gpt-oss-20b</x:v>
      </x:c>
      <x:c r="B19" s="19" t="str">
        <x:v>20261001_174226Z_192df863_cli</x:v>
      </x:c>
      <x:c r="C19" s="19" t="str">
        <x:v>Парный QA DEV</x:v>
      </x:c>
      <x:c r="D19" s="21" t="n">
        <x:v>12</x:v>
      </x:c>
      <x:c r="E19" s="21" t="n">
        <x:v>6</x:v>
      </x:c>
      <x:c r="F19" s="23" t="n">
        <x:f>IF(D19&gt;0,E19/D19,"NOT RUN")</x:f>
        <x:v>0.5</x:v>
      </x:c>
      <x:c r="G19" s="21" t="n">
        <x:v>5282</x:v>
      </x:c>
      <x:c r="H19" s="21" t="n">
        <x:v>1784</x:v>
      </x:c>
      <x:c r="I19" s="21" t="n">
        <x:v>10</x:v>
      </x:c>
      <x:c r="J19" s="21" t="n">
        <x:v>10</x:v>
      </x:c>
      <x:c r="K19" s="25" t="n">
        <x:v>2.168192900000122</x:v>
      </x:c>
      <x:c r="L19" s="25" t="n">
        <x:v>2.9067513700002108</x:v>
      </x:c>
      <x:c r="M19" s="27" t="n">
        <x:v>105.86</x:v>
      </x:c>
      <x:c r="N19" s="25" t="n">
        <x:v>0.0785</x:v>
      </x:c>
      <x:c r="O19" s="21" t="n">
        <x:v>12405</x:v>
      </x:c>
      <x:c r="P19" s="27" t="n">
        <x:f>IF(ISNUMBER(O19),O19/1024,"UNKNOWN")</x:f>
        <x:v>12.1142578125</x:v>
      </x:c>
      <x:c r="Q19" s="27" t="n">
        <x:v>24.08212661743164</x:v>
      </x:c>
      <x:c r="R19" s="27" t="n">
        <x:v>11.277914802543819</x:v>
      </x:c>
      <x:c r="S19" s="19" t="str">
        <x:v>Q8_0</x:v>
      </x:c>
      <x:c r="T19" s="19" t="str">
        <x:v>max</x:v>
      </x:c>
      <x:c r="U19" s="21" t="n">
        <x:v>0</x:v>
      </x:c>
      <x:c r="V19" s="19" t="str">
        <x:v>Да</x:v>
      </x:c>
      <x:c r="W19" s="19" t="str">
        <x:v>Серия сохранена</x:v>
      </x:c>
      <x:c r="X19" s="21" t="n">
        <x:v>4096</x:v>
      </x:c>
      <x:c r="Y19" s="21" t="n">
        <x:v>1</x:v>
      </x:c>
      <x:c r="Z19" s="21" t="n">
        <x:v>12</x:v>
      </x:c>
      <x:c r="AA19" s="19" t="str">
        <x:v>results/20261001_174226Z_192df863_cli/gpt-oss-20b_raw.jsonl</x:v>
      </x:c>
      <x:c r="AB19" s="19" t="str">
        <x:v>Парный EN/RU DEV probe. Human validation PENDING. Output и tok/s включают reasoning.</x:v>
      </x:c>
    </x:row>
    <x:row r="20" ht="64" customHeight="1">
      <x:c r="A20" s="20" t="str">
        <x:v>minicpm5-1b</x:v>
      </x:c>
      <x:c r="B20" s="20" t="str">
        <x:v>20261001_180022Z_4c3f0d40_cli</x:v>
      </x:c>
      <x:c r="C20" s="20" t="str">
        <x:v>Исходный DEV</x:v>
      </x:c>
      <x:c r="D20" s="22" t="n">
        <x:v>7</x:v>
      </x:c>
      <x:c r="E20" s="22" t="n">
        <x:v>0</x:v>
      </x:c>
      <x:c r="F20" s="24" t="n">
        <x:f>IF(D20&gt;0,E20/D20,"NOT RUN")</x:f>
        <x:v>0</x:v>
      </x:c>
      <x:c r="G20" s="22" t="n">
        <x:v>3195</x:v>
      </x:c>
      <x:c r="H20" s="22" t="n">
        <x:v>315</x:v>
      </x:c>
      <x:c r="I20" s="22" t="n">
        <x:v>7</x:v>
      </x:c>
      <x:c r="J20" s="22" t="n">
        <x:v>7</x:v>
      </x:c>
      <x:c r="K20" s="26" t="n">
        <x:v>0.4055596999996851</x:v>
      </x:c>
      <x:c r="L20" s="26" t="n">
        <x:v>0.7239425700001445</x:v>
      </x:c>
      <x:c r="M20" s="28" t="n">
        <x:v>249.78</x:v>
      </x:c>
      <x:c r="N20" s="26" t="n">
        <x:v>0.011</x:v>
      </x:c>
      <x:c r="O20" s="22" t="n">
        <x:v>2241</x:v>
      </x:c>
      <x:c r="P20" s="28" t="n">
        <x:f>IF(ISNUMBER(O20),O20/1024,"UNKNOWN")</x:f>
        <x:v>2.1884765625</x:v>
      </x:c>
      <x:c r="Q20" s="28" t="n">
        <x:v>12.56277084350586</x:v>
      </x:c>
      <x:c r="R20" s="28" t="n">
        <x:v>1.0743077993392944</x:v>
      </x:c>
      <x:c r="S20" s="20" t="str">
        <x:v>Q8_0</x:v>
      </x:c>
      <x:c r="T20" s="20" t="str">
        <x:v>max</x:v>
      </x:c>
      <x:c r="U20" s="22" t="n">
        <x:v>0</x:v>
      </x:c>
      <x:c r="V20" s="20" t="str">
        <x:v>Да</x:v>
      </x:c>
      <x:c r="W20" s="20" t="str">
        <x:v>Досрочная остановка</x:v>
      </x:c>
      <x:c r="X20" s="22" t="n">
        <x:v>4096</x:v>
      </x:c>
      <x:c r="Y20" s="22" t="n">
        <x:v>1</x:v>
      </x:c>
      <x:c r="Z20" s="22" t="n">
        <x:v>0</x:v>
      </x:c>
      <x:c r="AA20" s="20" t="str">
        <x:v>results/20261001_180022Z_4c3f0d40_cli/minicpm5-1b_raw.jsonl</x:v>
      </x:c>
      <x:c r="AB20" s="20" t="str">
        <x:v>Старый DEV, без final test90.</x:v>
      </x:c>
    </x:row>
    <x:row r="21" ht="64" customHeight="1">
      <x:c r="A21" s="19" t="str">
        <x:v>webworld-8b-i1</x:v>
      </x:c>
      <x:c r="B21" s="19" t="str">
        <x:v>20261001_180022Z_4c3f0d40_cli</x:v>
      </x:c>
      <x:c r="C21" s="19" t="str">
        <x:v>Исходный DEV</x:v>
      </x:c>
      <x:c r="D21" s="21" t="n">
        <x:v>10</x:v>
      </x:c>
      <x:c r="E21" s="21" t="n">
        <x:v>2</x:v>
      </x:c>
      <x:c r="F21" s="23" t="n">
        <x:f>IF(D21&gt;0,E21/D21,"NOT RUN")</x:f>
        <x:v>0.2</x:v>
      </x:c>
      <x:c r="G21" s="21" t="n">
        <x:v>4664</x:v>
      </x:c>
      <x:c r="H21" s="21" t="n">
        <x:v>1181</x:v>
      </x:c>
      <x:c r="I21" s="21" t="n">
        <x:v>10</x:v>
      </x:c>
      <x:c r="J21" s="21" t="n">
        <x:v>10</x:v>
      </x:c>
      <x:c r="K21" s="25" t="n">
        <x:v>1.756168500000058</x:v>
      </x:c>
      <x:c r="L21" s="25" t="n">
        <x:v>5.413884925000228</x:v>
      </x:c>
      <x:c r="M21" s="27" t="n">
        <x:v>55.805</x:v>
      </x:c>
      <x:c r="N21" s="25" t="n">
        <x:v>0.044</x:v>
      </x:c>
      <x:c r="O21" s="21" t="n">
        <x:v>7810</x:v>
      </x:c>
      <x:c r="P21" s="27" t="n">
        <x:f>IF(ISNUMBER(O21),O21/1024,"UNKNOWN")</x:f>
        <x:v>7.626953125</x:v>
      </x:c>
      <x:c r="Q21" s="27" t="n">
        <x:v>17.347034454345703</x:v>
      </x:c>
      <x:c r="R21" s="27" t="n">
        <x:v>6.263983190059662</x:v>
      </x:c>
      <x:c r="S21" s="19" t="str">
        <x:v>Q6_K</x:v>
      </x:c>
      <x:c r="T21" s="19" t="str">
        <x:v>max</x:v>
      </x:c>
      <x:c r="U21" s="21" t="n">
        <x:v>0</x:v>
      </x:c>
      <x:c r="V21" s="19" t="str">
        <x:v>Да</x:v>
      </x:c>
      <x:c r="W21" s="19" t="str">
        <x:v>Досрочная остановка</x:v>
      </x:c>
      <x:c r="X21" s="21" t="n">
        <x:v>4096</x:v>
      </x:c>
      <x:c r="Y21" s="21" t="n">
        <x:v>1</x:v>
      </x:c>
      <x:c r="Z21" s="21" t="n">
        <x:v>0</x:v>
      </x:c>
      <x:c r="AA21" s="19" t="str">
        <x:v>results/20261001_180022Z_4c3f0d40_cli/webworld-8b-i1_raw.jsonl</x:v>
      </x:c>
      <x:c r="AB21" s="19" t="str">
        <x:v>Старый DEV, без final test90.</x:v>
      </x:c>
    </x:row>
    <x:row r="22" ht="64" customHeight="1">
      <x:c r="A22" s="20" t="str">
        <x:v>granite-4.1-8b</x:v>
      </x:c>
      <x:c r="B22" s="20" t="str">
        <x:v>20261001_180022Z_4c3f0d40_cli</x:v>
      </x:c>
      <x:c r="C22" s="20" t="str">
        <x:v>Исходный DEV</x:v>
      </x:c>
      <x:c r="D22" s="22" t="n">
        <x:v>6</x:v>
      </x:c>
      <x:c r="E22" s="22" t="n">
        <x:v>2</x:v>
      </x:c>
      <x:c r="F22" s="24" t="n">
        <x:f>IF(D22&gt;0,E22/D22,"NOT RUN")</x:f>
        <x:v>0.3333333333333333</x:v>
      </x:c>
      <x:c r="G22" s="22" t="n">
        <x:v>2708</x:v>
      </x:c>
      <x:c r="H22" s="22" t="n">
        <x:v>2053</x:v>
      </x:c>
      <x:c r="I22" s="22" t="n">
        <x:v>6</x:v>
      </x:c>
      <x:c r="J22" s="22" t="n">
        <x:v>6</x:v>
      </x:c>
      <x:c r="K22" s="26" t="n">
        <x:v>6.4512495499998295</x:v>
      </x:c>
      <x:c r="L22" s="26" t="n">
        <x:v>9.96037592499988</x:v>
      </x:c>
      <x:c r="M22" s="28" t="n">
        <x:v>64.135</x:v>
      </x:c>
      <x:c r="N22" s="26" t="n">
        <x:v>0.044</x:v>
      </x:c>
      <x:c r="O22" s="22" t="n">
        <x:v>6834</x:v>
      </x:c>
      <x:c r="P22" s="28" t="n">
        <x:f>IF(ISNUMBER(O22),O22/1024,"UNKNOWN")</x:f>
        <x:v>6.673828125</x:v>
      </x:c>
      <x:c r="Q22" s="28" t="n">
        <x:v>16.28213882446289</x:v>
      </x:c>
      <x:c r="R22" s="28" t="n">
        <x:v>4.980634093284607</x:v>
      </x:c>
      <x:c r="S22" s="20" t="str">
        <x:v>Q4_K_M</x:v>
      </x:c>
      <x:c r="T22" s="20" t="str">
        <x:v>max</x:v>
      </x:c>
      <x:c r="U22" s="22" t="n">
        <x:v>0</x:v>
      </x:c>
      <x:c r="V22" s="20" t="str">
        <x:v>Да</x:v>
      </x:c>
      <x:c r="W22" s="20" t="str">
        <x:v>Досрочная остановка</x:v>
      </x:c>
      <x:c r="X22" s="22" t="n">
        <x:v>4096</x:v>
      </x:c>
      <x:c r="Y22" s="22" t="n">
        <x:v>1</x:v>
      </x:c>
      <x:c r="Z22" s="22" t="n">
        <x:v>0</x:v>
      </x:c>
      <x:c r="AA22" s="20" t="str">
        <x:v>results/20261001_180022Z_4c3f0d40_cli/granite-4.1-8b_raw.jsonl</x:v>
      </x:c>
      <x:c r="AB22" s="20" t="str">
        <x:v>Старый DEV, без final test90.</x:v>
      </x:c>
    </x:row>
    <x:row r="23" ht="64" customHeight="1">
      <x:c r="A23" s="19" t="str">
        <x:v>dr-venus-4b-rl</x:v>
      </x:c>
      <x:c r="B23" s="19" t="str">
        <x:v>20261001_180022Z_4c3f0d40_cli</x:v>
      </x:c>
      <x:c r="C23" s="19" t="str">
        <x:v>Исходный DEV</x:v>
      </x:c>
      <x:c r="D23" s="21" t="n">
        <x:v>12</x:v>
      </x:c>
      <x:c r="E23" s="21" t="n">
        <x:v>6</x:v>
      </x:c>
      <x:c r="F23" s="23" t="n">
        <x:f>IF(D23&gt;0,E23/D23,"NOT RUN")</x:f>
        <x:v>0.5</x:v>
      </x:c>
      <x:c r="G23" s="21" t="n">
        <x:v>5474</x:v>
      </x:c>
      <x:c r="H23" s="21" t="n">
        <x:v>10449</x:v>
      </x:c>
      <x:c r="I23" s="21" t="n">
        <x:v>12</x:v>
      </x:c>
      <x:c r="J23" s="21" t="n">
        <x:v>12</x:v>
      </x:c>
      <x:c r="K23" s="25" t="n">
        <x:v>6.282724749999943</x:v>
      </x:c>
      <x:c r="L23" s="25" t="n">
        <x:v>23.025593920000112</x:v>
      </x:c>
      <x:c r="M23" s="27" t="n">
        <x:v>99.19999999999999</x:v>
      </x:c>
      <x:c r="N23" s="25" t="n">
        <x:v>0.026000000000000002</x:v>
      </x:c>
      <x:c r="O23" s="21" t="n">
        <x:v>4297</x:v>
      </x:c>
      <x:c r="P23" s="27" t="n">
        <x:f>IF(ISNUMBER(O23),O23/1024,"UNKNOWN")</x:f>
        <x:v>4.1962890625</x:v>
      </x:c>
      <x:c r="Q23" s="27" t="n">
        <x:v>16.085159301757812</x:v>
      </x:c>
      <x:c r="R23" s="27" t="n">
        <x:v>2.5295353829860687</x:v>
      </x:c>
      <x:c r="S23" s="19" t="str">
        <x:v>Q4_K_M</x:v>
      </x:c>
      <x:c r="T23" s="19" t="str">
        <x:v>max</x:v>
      </x:c>
      <x:c r="U23" s="21" t="n">
        <x:v>0</x:v>
      </x:c>
      <x:c r="V23" s="19" t="str">
        <x:v>Да</x:v>
      </x:c>
      <x:c r="W23" s="19" t="str">
        <x:v>Серия сохранена</x:v>
      </x:c>
      <x:c r="X23" s="21" t="n">
        <x:v>4096</x:v>
      </x:c>
      <x:c r="Y23" s="21" t="n">
        <x:v>1</x:v>
      </x:c>
      <x:c r="Z23" s="21" t="n">
        <x:v>10</x:v>
      </x:c>
      <x:c r="AA23" s="19" t="str">
        <x:v>results/20261001_180022Z_4c3f0d40_cli/dr-venus-4b-rl_raw.jsonl</x:v>
      </x:c>
      <x:c r="AB23" s="19" t="str">
        <x:v>Старый DEV, без final test90.</x:v>
      </x:c>
    </x:row>
    <x:row r="24" ht="64" customHeight="1">
      <x:c r="A24" s="20" t="str">
        <x:v>qwen3-vl-8b-instruct</x:v>
      </x:c>
      <x:c r="B24" s="20" t="str">
        <x:v>20261001_180022Z_4c3f0d40_cli</x:v>
      </x:c>
      <x:c r="C24" s="20" t="str">
        <x:v>Исходный DEV</x:v>
      </x:c>
      <x:c r="D24" s="22" t="n">
        <x:v>12</x:v>
      </x:c>
      <x:c r="E24" s="22" t="n">
        <x:v>4</x:v>
      </x:c>
      <x:c r="F24" s="24" t="n">
        <x:f>IF(D24&gt;0,E24/D24,"NOT RUN")</x:f>
        <x:v>0.3333333333333333</x:v>
      </x:c>
      <x:c r="G24" s="22" t="n">
        <x:v>5450</x:v>
      </x:c>
      <x:c r="H24" s="22" t="n">
        <x:v>315</x:v>
      </x:c>
      <x:c r="I24" s="22" t="n">
        <x:v>12</x:v>
      </x:c>
      <x:c r="J24" s="22" t="n">
        <x:v>12</x:v>
      </x:c>
      <x:c r="K24" s="26" t="n">
        <x:v>0.9643078000003698</x:v>
      </x:c>
      <x:c r="L24" s="26" t="n">
        <x:v>1.0362890549998611</x:v>
      </x:c>
      <x:c r="M24" s="28" t="n">
        <x:v>44.025</x:v>
      </x:c>
      <x:c r="N24" s="26" t="n">
        <x:v>0.0405</x:v>
      </x:c>
      <x:c r="O24" s="22" t="n">
        <x:v>11058</x:v>
      </x:c>
      <x:c r="P24" s="28" t="n">
        <x:f>IF(ISNUMBER(O24),O24/1024,"UNKNOWN")</x:f>
        <x:v>10.798828125</x:v>
      </x:c>
      <x:c r="Q24" s="28" t="n">
        <x:v>19.6253662109375</x:v>
      </x:c>
      <x:c r="R24" s="28" t="n">
        <x:v>9.190802723169327</x:v>
      </x:c>
      <x:c r="S24" s="20" t="str">
        <x:v>Q8_0</x:v>
      </x:c>
      <x:c r="T24" s="20" t="str">
        <x:v>max</x:v>
      </x:c>
      <x:c r="U24" s="22" t="n">
        <x:v>0</x:v>
      </x:c>
      <x:c r="V24" s="20" t="str">
        <x:v>Да</x:v>
      </x:c>
      <x:c r="W24" s="20" t="str">
        <x:v>Серия сохранена</x:v>
      </x:c>
      <x:c r="X24" s="22" t="n">
        <x:v>4096</x:v>
      </x:c>
      <x:c r="Y24" s="22" t="n">
        <x:v>1</x:v>
      </x:c>
      <x:c r="Z24" s="22" t="n">
        <x:v>0</x:v>
      </x:c>
      <x:c r="AA24" s="20" t="str">
        <x:v>results/20261001_180022Z_4c3f0d40_cli/qwen3-vl-8b-instruct_raw.jsonl</x:v>
      </x:c>
      <x:c r="AB24" s="20" t="str">
        <x:v>Старый DEV, без final test90.</x:v>
      </x:c>
    </x:row>
    <x:row r="25" ht="64" customHeight="1">
      <x:c r="A25" s="19" t="str">
        <x:v>qwen3-8b-deepseek-v3.2-speciale-distill</x:v>
      </x:c>
      <x:c r="B25" s="19" t="str">
        <x:v>20261001_180022Z_4c3f0d40_cli</x:v>
      </x:c>
      <x:c r="C25" s="19" t="str">
        <x:v>Исходный DEV</x:v>
      </x:c>
      <x:c r="D25" s="21" t="n">
        <x:v>9</x:v>
      </x:c>
      <x:c r="E25" s="21" t="n">
        <x:v>5</x:v>
      </x:c>
      <x:c r="F25" s="23" t="n">
        <x:f>IF(D25&gt;0,E25/D25,"NOT RUN")</x:f>
        <x:v>0.5555555555555556</x:v>
      </x:c>
      <x:c r="G25" s="21" t="n">
        <x:v>4231</x:v>
      </x:c>
      <x:c r="H25" s="21" t="n">
        <x:v>127</x:v>
      </x:c>
      <x:c r="I25" s="21" t="n">
        <x:v>9</x:v>
      </x:c>
      <x:c r="J25" s="21" t="n">
        <x:v>9</x:v>
      </x:c>
      <x:c r="K25" s="25" t="n">
        <x:v>0.6424010999999155</x:v>
      </x:c>
      <x:c r="L25" s="25" t="n">
        <x:v>2.351787419999709</x:v>
      </x:c>
      <x:c r="M25" s="27" t="n">
        <x:v>66.74</x:v>
      </x:c>
      <x:c r="N25" s="25" t="n">
        <x:v>0.039</x:v>
      </x:c>
      <x:c r="O25" s="21" t="n">
        <x:v>6343</x:v>
      </x:c>
      <x:c r="P25" s="27" t="n">
        <x:f>IF(ISNUMBER(O25),O25/1024,"UNKNOWN")</x:f>
        <x:v>6.1943359375</x:v>
      </x:c>
      <x:c r="Q25" s="27" t="n">
        <x:v>16.442611694335938</x:v>
      </x:c>
      <x:c r="R25" s="27" t="n">
        <x:v>4.682491015642881</x:v>
      </x:c>
      <x:c r="S25" s="19" t="str">
        <x:v>Q4_K_M</x:v>
      </x:c>
      <x:c r="T25" s="19" t="str">
        <x:v>max</x:v>
      </x:c>
      <x:c r="U25" s="21" t="n">
        <x:v>0</x:v>
      </x:c>
      <x:c r="V25" s="19" t="str">
        <x:v>Да</x:v>
      </x:c>
      <x:c r="W25" s="19" t="str">
        <x:v>Досрочная остановка</x:v>
      </x:c>
      <x:c r="X25" s="21" t="n">
        <x:v>4096</x:v>
      </x:c>
      <x:c r="Y25" s="21" t="n">
        <x:v>1</x:v>
      </x:c>
      <x:c r="Z25" s="21" t="n">
        <x:v>0</x:v>
      </x:c>
      <x:c r="AA25" s="19" t="str">
        <x:v>results/20261001_180022Z_4c3f0d40_cli/qwen3-8b-deepseek-v3.2-speciale-distill_raw.jsonl</x:v>
      </x:c>
      <x:c r="AB25" s="19" t="str">
        <x:v>Старый DEV, без final test90.</x:v>
      </x:c>
    </x:row>
    <x:row r="26" ht="64" customHeight="1">
      <x:c r="A26" s="20" t="str">
        <x:v>gemma-4-26b-a4b-it</x:v>
      </x:c>
      <x:c r="B26" s="20" t="str">
        <x:v>20261001_180022Z_4c3f0d40_cli</x:v>
      </x:c>
      <x:c r="C26" s="20" t="str">
        <x:v>Исходный DEV</x:v>
      </x:c>
      <x:c r="D26" s="22" t="n">
        <x:v>12</x:v>
      </x:c>
      <x:c r="E26" s="22" t="n">
        <x:v>9</x:v>
      </x:c>
      <x:c r="F26" s="24" t="n">
        <x:f>IF(D26&gt;0,E26/D26,"NOT RUN")</x:f>
        <x:v>0.75</x:v>
      </x:c>
      <x:c r="G26" s="22" t="n">
        <x:v>5764</x:v>
      </x:c>
      <x:c r="H26" s="22" t="n">
        <x:v>348</x:v>
      </x:c>
      <x:c r="I26" s="22" t="n">
        <x:v>12</x:v>
      </x:c>
      <x:c r="J26" s="22" t="n">
        <x:v>12</x:v>
      </x:c>
      <x:c r="K26" s="26" t="n">
        <x:v>1.6155929999999898</x:v>
      </x:c>
      <x:c r="L26" s="26" t="n">
        <x:v>2.129324650000171</x:v>
      </x:c>
      <x:c r="M26" s="28" t="n">
        <x:v>33.42</x:v>
      </x:c>
      <x:c r="N26" s="26" t="n">
        <x:v>0.464</x:v>
      </x:c>
      <x:c r="O26" s="22" t="n">
        <x:v>13991</x:v>
      </x:c>
      <x:c r="P26" s="28" t="n">
        <x:f>IF(ISNUMBER(O26),O26/1024,"UNKNOWN")</x:f>
        <x:v>13.6630859375</x:v>
      </x:c>
      <x:c r="Q26" s="28" t="n">
        <x:v>26.787128448486328</x:v>
      </x:c>
      <x:c r="R26" s="28" t="n">
        <x:v>15.690822293050587</x:v>
      </x:c>
      <x:c r="S26" s="20" t="str">
        <x:v>IQ4_NL_XL</x:v>
      </x:c>
      <x:c r="T26" s="20" t="str">
        <x:v>0.70</x:v>
      </x:c>
      <x:c r="U26" s="22" t="n">
        <x:v>0</x:v>
      </x:c>
      <x:c r="V26" s="20" t="str">
        <x:v>Да</x:v>
      </x:c>
      <x:c r="W26" s="20" t="str">
        <x:v>Серия сохранена</x:v>
      </x:c>
      <x:c r="X26" s="22" t="n">
        <x:v>4096</x:v>
      </x:c>
      <x:c r="Y26" s="22" t="n">
        <x:v>1</x:v>
      </x:c>
      <x:c r="Z26" s="22" t="n">
        <x:v>0</x:v>
      </x:c>
      <x:c r="AA26" s="20" t="str">
        <x:v>results/20261001_180022Z_4c3f0d40_cli/gemma-4-26b-a4b-it_raw.jsonl</x:v>
      </x:c>
      <x:c r="AB26" s="20" t="str">
        <x:v>Старый DEV, без final test90.</x:v>
      </x:c>
    </x:row>
    <x:row r="27" ht="64" customHeight="1">
      <x:c r="A27" s="19" t="str">
        <x:v>qwen3-omni-30b-a3b-instruct</x:v>
      </x:c>
      <x:c r="B27" s="19" t="str">
        <x:v>20261001_180022Z_4c3f0d40_cli</x:v>
      </x:c>
      <x:c r="C27" s="19" t="str">
        <x:v>Исходный DEV</x:v>
      </x:c>
      <x:c r="D27" s="21" t="n">
        <x:v>12</x:v>
      </x:c>
      <x:c r="E27" s="21" t="n">
        <x:v>5</x:v>
      </x:c>
      <x:c r="F27" s="23" t="n">
        <x:f>IF(D27&gt;0,E27/D27,"NOT RUN")</x:f>
        <x:v>0.4166666666666667</x:v>
      </x:c>
      <x:c r="G27" s="21" t="n">
        <x:v>5498</x:v>
      </x:c>
      <x:c r="H27" s="21" t="n">
        <x:v>416</x:v>
      </x:c>
      <x:c r="I27" s="21" t="n">
        <x:v>12</x:v>
      </x:c>
      <x:c r="J27" s="21" t="n">
        <x:v>12</x:v>
      </x:c>
      <x:c r="K27" s="25" t="n">
        <x:v>1.7324643500001002</x:v>
      </x:c>
      <x:c r="L27" s="25" t="n">
        <x:v>2.2405316899998975</x:v>
      </x:c>
      <x:c r="M27" s="27" t="n">
        <x:v>36.989999999999995</x:v>
      </x:c>
      <x:c r="N27" s="25" t="n">
        <x:v>0.5265</x:v>
      </x:c>
      <x:c r="O27" s="21" t="n">
        <x:v>14947</x:v>
      </x:c>
      <x:c r="P27" s="27" t="n">
        <x:f>IF(ISNUMBER(O27),O27/1024,"UNKNOWN")</x:f>
        <x:v>14.5966796875</x:v>
      </x:c>
      <x:c r="Q27" s="27" t="n">
        <x:v>28.733558654785156</x:v>
      </x:c>
      <x:c r="R27" s="27" t="n">
        <x:v>19.33846578001976</x:v>
      </x:c>
      <x:c r="S27" s="19" t="str">
        <x:v>Q4_K_M</x:v>
      </x:c>
      <x:c r="T27" s="19" t="str">
        <x:v>0.60</x:v>
      </x:c>
      <x:c r="U27" s="21" t="n">
        <x:v>0</x:v>
      </x:c>
      <x:c r="V27" s="19" t="str">
        <x:v>Да</x:v>
      </x:c>
      <x:c r="W27" s="19" t="str">
        <x:v>Серия сохранена</x:v>
      </x:c>
      <x:c r="X27" s="21" t="n">
        <x:v>4096</x:v>
      </x:c>
      <x:c r="Y27" s="21" t="n">
        <x:v>1</x:v>
      </x:c>
      <x:c r="Z27" s="21" t="n">
        <x:v>0</x:v>
      </x:c>
      <x:c r="AA27" s="19" t="str">
        <x:v>results/20261001_180022Z_4c3f0d40_cli/qwen3-omni-30b-a3b-instruct_raw.jsonl</x:v>
      </x:c>
      <x:c r="AB27" s="19" t="str">
        <x:v>Старый DEV, без final test90.</x:v>
      </x:c>
    </x:row>
    <x:row r="28" ht="64" customHeight="1">
      <x:c r="A28" s="20" t="str">
        <x:v>qwen3.6-35b-a3b-uncensored-hauhaucs-aggressive</x:v>
      </x:c>
      <x:c r="B28" s="20" t="str">
        <x:v>20261001_180022Z_4c3f0d40_cli</x:v>
      </x:c>
      <x:c r="C28" s="20" t="str">
        <x:v>Исходный DEV</x:v>
      </x:c>
      <x:c r="D28" s="22" t="n">
        <x:v>1</x:v>
      </x:c>
      <x:c r="E28" s="22" t="n">
        <x:v>0</x:v>
      </x:c>
      <x:c r="F28" s="24" t="n">
        <x:f>IF(D28&gt;0,E28/D28,"NOT RUN")</x:f>
        <x:v>0</x:v>
      </x:c>
      <x:c r="G28" s="22" t="n">
        <x:v>539</x:v>
      </x:c>
      <x:c r="H28" s="22" t="n">
        <x:v>37</x:v>
      </x:c>
      <x:c r="I28" s="22" t="n">
        <x:v>1</x:v>
      </x:c>
      <x:c r="J28" s="22" t="n">
        <x:v>1</x:v>
      </x:c>
      <x:c r="K28" s="26" t="n">
        <x:v>3.5928320000002714</x:v>
      </x:c>
      <x:c r="L28" s="26" t="n">
        <x:v>3.5928320000002714</x:v>
      </x:c>
      <x:c r="M28" s="28" t="n">
        <x:v>31.12</x:v>
      </x:c>
      <x:c r="N28" s="26" t="n">
        <x:v>2.067</x:v>
      </x:c>
      <x:c r="O28" s="22" t="n">
        <x:v>13849</x:v>
      </x:c>
      <x:c r="P28" s="28" t="n">
        <x:f>IF(ISNUMBER(O28),O28/1024,"UNKNOWN")</x:f>
        <x:v>13.5244140625</x:v>
      </x:c>
      <x:c r="Q28" s="28" t="n">
        <x:v>30.130714416503906</x:v>
      </x:c>
      <x:c r="R28" s="28" t="n">
        <x:v>20.550602197647095</x:v>
      </x:c>
      <x:c r="S28" s="20" t="str">
        <x:v>Q4_K_M</x:v>
      </x:c>
      <x:c r="T28" s="20" t="str">
        <x:v>0.55</x:v>
      </x:c>
      <x:c r="U28" s="22" t="n">
        <x:v>0</x:v>
      </x:c>
      <x:c r="V28" s="20" t="str">
        <x:v>Да</x:v>
      </x:c>
      <x:c r="W28" s="20" t="str">
        <x:v>Прерван</x:v>
      </x:c>
      <x:c r="X28" s="22" t="n">
        <x:v>4096</x:v>
      </x:c>
      <x:c r="Y28" s="22" t="n">
        <x:v>1</x:v>
      </x:c>
      <x:c r="Z28" s="22" t="n">
        <x:v>0</x:v>
      </x:c>
      <x:c r="AA28" s="20" t="str">
        <x:v>results/20261001_180022Z_4c3f0d40_cli/qwen3.6-35b-a3b-uncensored-hauhaucs-aggressive_raw.jsonl</x:v>
      </x:c>
      <x:c r="AB28" s="20" t="str">
        <x:v>Старый DEV, без final test90. Загрузка/серия прервана. Не считать стабильным запуском. RAM available 1.76 GiB при guard stop.</x:v>
      </x:c>
    </x:row>
    <x:row r="29" ht="64" customHeight="1">
      <x:c r="A29" s="19" t="str">
        <x:v>qwen3-coder-next</x:v>
      </x:c>
      <x:c r="B29" s="19" t="str">
        <x:v>20261001_180022Z_4c3f0d40_cli</x:v>
      </x:c>
      <x:c r="C29" s="19" t="str">
        <x:v>Исходный DEV</x:v>
      </x:c>
      <x:c r="D29" s="21" t="n">
        <x:v>0</x:v>
      </x:c>
      <x:c r="E29" s="21" t="str">
        <x:v>UNKNOWN</x:v>
      </x:c>
      <x:c r="F29" s="23" t="str">
        <x:f>IF(D29&gt;0,E29/D29,"NOT RUN")</x:f>
        <x:v>NOT RUN</x:v>
      </x:c>
      <x:c r="G29" s="21" t="str">
        <x:v>UNKNOWN</x:v>
      </x:c>
      <x:c r="H29" s="21" t="str">
        <x:v>UNKNOWN</x:v>
      </x:c>
      <x:c r="I29" s="21" t="n">
        <x:v>0</x:v>
      </x:c>
      <x:c r="J29" s="21" t="n">
        <x:v>0</x:v>
      </x:c>
      <x:c r="K29" s="25" t="str">
        <x:v>UNKNOWN</x:v>
      </x:c>
      <x:c r="L29" s="25" t="str">
        <x:v>UNKNOWN</x:v>
      </x:c>
      <x:c r="M29" s="27" t="str">
        <x:v>UNKNOWN</x:v>
      </x:c>
      <x:c r="N29" s="25" t="str">
        <x:v>UNKNOWN</x:v>
      </x:c>
      <x:c r="O29" s="21" t="n">
        <x:v>13801</x:v>
      </x:c>
      <x:c r="P29" s="27" t="n">
        <x:f>IF(ISNUMBER(O29),O29/1024,"UNKNOWN")</x:f>
        <x:v>13.4775390625</x:v>
      </x:c>
      <x:c r="Q29" s="27" t="n">
        <x:v>19.677696228027344</x:v>
      </x:c>
      <x:c r="R29" s="27" t="n">
        <x:v>31.031917572021484</x:v>
      </x:c>
      <x:c r="S29" s="19" t="str">
        <x:v>Q3_K_S</x:v>
      </x:c>
      <x:c r="T29" s="19" t="str">
        <x:v>0.40</x:v>
      </x:c>
      <x:c r="U29" s="21" t="n">
        <x:v>0</x:v>
      </x:c>
      <x:c r="V29" s="19" t="str">
        <x:v>Нет</x:v>
      </x:c>
      <x:c r="W29" s="19" t="str">
        <x:v>Прерван</x:v>
      </x:c>
      <x:c r="X29" s="21" t="n">
        <x:v>4096</x:v>
      </x:c>
      <x:c r="Y29" s="21" t="n">
        <x:v>1</x:v>
      </x:c>
      <x:c r="Z29" s="21" t="n">
        <x:v>0</x:v>
      </x:c>
      <x:c r="AA29" s="19" t="str">
        <x:v>results/20261001_180022Z_4c3f0d40_cli/manifest.json</x:v>
      </x:c>
      <x:c r="AB29" s="19" t="str">
        <x:v>Старый DEV, без final test90. Загрузка/серия прервана. Не считать стабильным запуском.</x:v>
      </x:c>
    </x:row>
    <x:row r="30" ht="64" customHeight="1">
      <x:c r="A30" s="20" t="str">
        <x:v>gemma-4-26b-a4b-it</x:v>
      </x:c>
      <x:c r="B30" s="20" t="str">
        <x:v>20261001_181115Z_5bff1166_cli</x:v>
      </x:c>
      <x:c r="C30" s="20" t="str">
        <x:v>Исходный DEV</x:v>
      </x:c>
      <x:c r="D30" s="22" t="n">
        <x:v>36</x:v>
      </x:c>
      <x:c r="E30" s="22" t="n">
        <x:v>21</x:v>
      </x:c>
      <x:c r="F30" s="24" t="n">
        <x:f>IF(D30&gt;0,E30/D30,"NOT RUN")</x:f>
        <x:v>0.5833333333333334</x:v>
      </x:c>
      <x:c r="G30" s="22" t="n">
        <x:v>17016</x:v>
      </x:c>
      <x:c r="H30" s="22" t="n">
        <x:v>1123</x:v>
      </x:c>
      <x:c r="I30" s="22" t="n">
        <x:v>36</x:v>
      </x:c>
      <x:c r="J30" s="22" t="n">
        <x:v>36</x:v>
      </x:c>
      <x:c r="K30" s="26" t="n">
        <x:v>1.471990850000111</x:v>
      </x:c>
      <x:c r="L30" s="26" t="n">
        <x:v>2.3624020749998635</x:v>
      </x:c>
      <x:c r="M30" s="28" t="n">
        <x:v>36.55</x:v>
      </x:c>
      <x:c r="N30" s="26" t="n">
        <x:v>0.4285</x:v>
      </x:c>
      <x:c r="O30" s="22" t="n">
        <x:v>13937</x:v>
      </x:c>
      <x:c r="P30" s="28" t="n">
        <x:f>IF(ISNUMBER(O30),O30/1024,"UNKNOWN")</x:f>
        <x:v>13.6103515625</x:v>
      </x:c>
      <x:c r="Q30" s="28" t="n">
        <x:v>25.742290496826172</x:v>
      </x:c>
      <x:c r="R30" s="28" t="n">
        <x:v>15.690822293050587</x:v>
      </x:c>
      <x:c r="S30" s="20" t="str">
        <x:v>IQ4_NL_XL</x:v>
      </x:c>
      <x:c r="T30" s="20" t="str">
        <x:v>0.70</x:v>
      </x:c>
      <x:c r="U30" s="22" t="n">
        <x:v>0</x:v>
      </x:c>
      <x:c r="V30" s="20" t="str">
        <x:v>Да</x:v>
      </x:c>
      <x:c r="W30" s="20" t="str">
        <x:v>Серия сохранена</x:v>
      </x:c>
      <x:c r="X30" s="22" t="n">
        <x:v>4096</x:v>
      </x:c>
      <x:c r="Y30" s="22" t="n">
        <x:v>1</x:v>
      </x:c>
      <x:c r="Z30" s="22" t="n">
        <x:v>0</x:v>
      </x:c>
      <x:c r="AA30" s="20" t="str">
        <x:v>results/20261001_181115Z_5bff1166_cli/gemma-4-26b-a4b-it_raw.jsonl</x:v>
      </x:c>
      <x:c r="AB30" s="20" t="str">
        <x:v>Старый DEV, без final test90.</x:v>
      </x:c>
    </x:row>
    <x:row r="31" ht="64" customHeight="1">
      <x:c r="A31" s="19" t="str">
        <x:v>qwen3-coder-next</x:v>
      </x:c>
      <x:c r="B31" s="19" t="str">
        <x:v>20261001_181425Z_b95ae6f4_cli</x:v>
      </x:c>
      <x:c r="C31" s="19" t="str">
        <x:v>Исходный DEV</x:v>
      </x:c>
      <x:c r="D31" s="21" t="n">
        <x:v>0</x:v>
      </x:c>
      <x:c r="E31" s="21" t="str">
        <x:v>UNKNOWN</x:v>
      </x:c>
      <x:c r="F31" s="23" t="str">
        <x:f>IF(D31&gt;0,E31/D31,"NOT RUN")</x:f>
        <x:v>NOT RUN</x:v>
      </x:c>
      <x:c r="G31" s="21" t="str">
        <x:v>UNKNOWN</x:v>
      </x:c>
      <x:c r="H31" s="21" t="str">
        <x:v>UNKNOWN</x:v>
      </x:c>
      <x:c r="I31" s="21" t="n">
        <x:v>0</x:v>
      </x:c>
      <x:c r="J31" s="21" t="n">
        <x:v>0</x:v>
      </x:c>
      <x:c r="K31" s="25" t="str">
        <x:v>UNKNOWN</x:v>
      </x:c>
      <x:c r="L31" s="25" t="str">
        <x:v>UNKNOWN</x:v>
      </x:c>
      <x:c r="M31" s="27" t="str">
        <x:v>UNKNOWN</x:v>
      </x:c>
      <x:c r="N31" s="25" t="str">
        <x:v>UNKNOWN</x:v>
      </x:c>
      <x:c r="O31" s="21" t="n">
        <x:v>11777</x:v>
      </x:c>
      <x:c r="P31" s="27" t="n">
        <x:f>IF(ISNUMBER(O31),O31/1024,"UNKNOWN")</x:f>
        <x:v>11.5009765625</x:v>
      </x:c>
      <x:c r="Q31" s="27" t="n">
        <x:v>27.651451110839844</x:v>
      </x:c>
      <x:c r="R31" s="27" t="n">
        <x:v>31.031917572021484</x:v>
      </x:c>
      <x:c r="S31" s="19" t="str">
        <x:v>Q3_K_S</x:v>
      </x:c>
      <x:c r="T31" s="19" t="str">
        <x:v>0.35</x:v>
      </x:c>
      <x:c r="U31" s="21" t="n">
        <x:v>0</x:v>
      </x:c>
      <x:c r="V31" s="19" t="str">
        <x:v>Нет</x:v>
      </x:c>
      <x:c r="W31" s="19" t="str">
        <x:v>Прерван</x:v>
      </x:c>
      <x:c r="X31" s="21" t="n">
        <x:v>4096</x:v>
      </x:c>
      <x:c r="Y31" s="21" t="n">
        <x:v>1</x:v>
      </x:c>
      <x:c r="Z31" s="21" t="n">
        <x:v>0</x:v>
      </x:c>
      <x:c r="AA31" s="19" t="str">
        <x:v>results/20261001_181425Z_b95ae6f4_cli/manifest.json</x:v>
      </x:c>
      <x:c r="AB31" s="19" t="str">
        <x:v>Старый DEV, без final test90. Загрузка/серия прервана. Не считать стабильным запуском. RAM available 1.94 GiB при guard stop.</x:v>
      </x:c>
    </x:row>
    <x:row r="32" ht="64" customHeight="1">
      <x:c r="A32" s="20" t="str">
        <x:v>qwen3.8-27b</x:v>
      </x:c>
      <x:c r="B32" s="20" t="str">
        <x:v>20261001_181635Z_1a6b892a_cli</x:v>
      </x:c>
      <x:c r="C32" s="20" t="str">
        <x:v>Парный QA DEV</x:v>
      </x:c>
      <x:c r="D32" s="22" t="n">
        <x:v>12</x:v>
      </x:c>
      <x:c r="E32" s="22" t="n">
        <x:v>9</x:v>
      </x:c>
      <x:c r="F32" s="24" t="n">
        <x:f>IF(D32&gt;0,E32/D32,"NOT RUN")</x:f>
        <x:v>0.75</x:v>
      </x:c>
      <x:c r="G32" s="22" t="n">
        <x:v>5927</x:v>
      </x:c>
      <x:c r="H32" s="22" t="n">
        <x:v>409</x:v>
      </x:c>
      <x:c r="I32" s="22" t="n">
        <x:v>12</x:v>
      </x:c>
      <x:c r="J32" s="22" t="n">
        <x:v>12</x:v>
      </x:c>
      <x:c r="K32" s="26" t="n">
        <x:v>3.267790650000279</x:v>
      </x:c>
      <x:c r="L32" s="26" t="n">
        <x:v>4.141679580000255</x:v>
      </x:c>
      <x:c r="M32" s="28" t="n">
        <x:v>15.545</x:v>
      </x:c>
      <x:c r="N32" s="26" t="n">
        <x:v>0.7515000000000001</x:v>
      </x:c>
      <x:c r="O32" s="22" t="n">
        <x:v>15089</x:v>
      </x:c>
      <x:c r="P32" s="28" t="n">
        <x:f>IF(ISNUMBER(O32),O32/1024,"UNKNOWN")</x:f>
        <x:v>14.7353515625</x:v>
      </x:c>
      <x:c r="Q32" s="28" t="n">
        <x:v>27.66363525390625</x:v>
      </x:c>
      <x:c r="R32" s="28" t="n">
        <x:v>16.197610154747963</x:v>
      </x:c>
      <x:c r="S32" s="20" t="str">
        <x:v>Q4_K_M</x:v>
      </x:c>
      <x:c r="T32" s="20" t="str">
        <x:v>0.75</x:v>
      </x:c>
      <x:c r="U32" s="22" t="n">
        <x:v>0</x:v>
      </x:c>
      <x:c r="V32" s="20" t="str">
        <x:v>Да</x:v>
      </x:c>
      <x:c r="W32" s="20" t="str">
        <x:v>Серия сохранена</x:v>
      </x:c>
      <x:c r="X32" s="22" t="n">
        <x:v>4096</x:v>
      </x:c>
      <x:c r="Y32" s="22" t="n">
        <x:v>1</x:v>
      </x:c>
      <x:c r="Z32" s="22" t="n">
        <x:v>0</x:v>
      </x:c>
      <x:c r="AA32" s="20" t="str">
        <x:v>results/20261001_181635Z_1a6b892a_cli/qwen3.8-27b_raw.jsonl</x:v>
      </x:c>
      <x:c r="AB32" s="20" t="str">
        <x:v>Парный EN/RU DEV probe. Human validation PENDING.</x:v>
      </x:c>
    </x:row>
    <x:row r="33" ht="64" customHeight="1">
      <x:c r="A33" s="19" t="str">
        <x:v>gemma-4-26b-a4b-it</x:v>
      </x:c>
      <x:c r="B33" s="19" t="str">
        <x:v>20261001_181635Z_1a6b892a_cli</x:v>
      </x:c>
      <x:c r="C33" s="19" t="str">
        <x:v>Парный QA DEV</x:v>
      </x:c>
      <x:c r="D33" s="21" t="n">
        <x:v>12</x:v>
      </x:c>
      <x:c r="E33" s="21" t="n">
        <x:v>9</x:v>
      </x:c>
      <x:c r="F33" s="23" t="n">
        <x:f>IF(D33&gt;0,E33/D33,"NOT RUN")</x:f>
        <x:v>0.75</x:v>
      </x:c>
      <x:c r="G33" s="21" t="n">
        <x:v>6074</x:v>
      </x:c>
      <x:c r="H33" s="21" t="n">
        <x:v>430</x:v>
      </x:c>
      <x:c r="I33" s="21" t="n">
        <x:v>12</x:v>
      </x:c>
      <x:c r="J33" s="21" t="n">
        <x:v>12</x:v>
      </x:c>
      <x:c r="K33" s="25" t="n">
        <x:v>1.8098323499998514</x:v>
      </x:c>
      <x:c r="L33" s="25" t="n">
        <x:v>2.5849965550000884</x:v>
      </x:c>
      <x:c r="M33" s="27" t="n">
        <x:v>35.32</x:v>
      </x:c>
      <x:c r="N33" s="25" t="n">
        <x:v>0.4715</x:v>
      </x:c>
      <x:c r="O33" s="21" t="n">
        <x:v>13913</x:v>
      </x:c>
      <x:c r="P33" s="27" t="n">
        <x:f>IF(ISNUMBER(O33),O33/1024,"UNKNOWN")</x:f>
        <x:v>13.5869140625</x:v>
      </x:c>
      <x:c r="Q33" s="27" t="n">
        <x:v>25.434078216552734</x:v>
      </x:c>
      <x:c r="R33" s="27" t="n">
        <x:v>15.690822293050587</x:v>
      </x:c>
      <x:c r="S33" s="19" t="str">
        <x:v>IQ4_NL_XL</x:v>
      </x:c>
      <x:c r="T33" s="19" t="str">
        <x:v>0.70</x:v>
      </x:c>
      <x:c r="U33" s="21" t="n">
        <x:v>0</x:v>
      </x:c>
      <x:c r="V33" s="19" t="str">
        <x:v>Да</x:v>
      </x:c>
      <x:c r="W33" s="19" t="str">
        <x:v>Серия сохранена</x:v>
      </x:c>
      <x:c r="X33" s="21" t="n">
        <x:v>4096</x:v>
      </x:c>
      <x:c r="Y33" s="21" t="n">
        <x:v>1</x:v>
      </x:c>
      <x:c r="Z33" s="21" t="n">
        <x:v>0</x:v>
      </x:c>
      <x:c r="AA33" s="19" t="str">
        <x:v>results/20261001_181635Z_1a6b892a_cli/gemma-4-26b-a4b-it_raw.jsonl</x:v>
      </x:c>
      <x:c r="AB33" s="19" t="str">
        <x:v>Парный EN/RU DEV probe. Human validation PENDING.</x:v>
      </x:c>
    </x:row>
  </x:sheetData>
  <x:conditionalFormatting sqref="G9:H33">
    <x:cfRule type="containsText" dxfId="3" priority="1" operator="containsText" text="UNKNOWN"/>
  </x:conditionalFormatting>
  <x:pageMargins left="0.7" right="0.7" top="0.75" bottom="0.75" header="0.3" footer="0.3"/>
  <x:tableParts count="1">
    <x:tablePart xmlns:r="http://schemas.openxmlformats.org/officeDocument/2006/relationships" r:id="R900640d4f2514af7"/>
  </x:tableParts>
</x:worksheet>
</file>
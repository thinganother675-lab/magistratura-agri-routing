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00a8e396e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чет" sheetId="1" r:id="R4b0000068d70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4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F49"/>
      </x:patternFill>
    </x:fill>
    <x:fill>
      <x:patternFill patternType="solid">
        <x:fgColor rgb="FFE5EFF1"/>
      </x:patternFill>
    </x:fill>
    <x:fill>
      <x:patternFill patternType="solid">
        <x:fgColor rgb="FFFFF6D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8DB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f38ec295644dc" /><Relationship Type="http://schemas.openxmlformats.org/officeDocument/2006/relationships/theme" Target="/xl/theme/theme1.xml" Id="R0f2bc1c0c16a4e12" /><Relationship Type="http://schemas.openxmlformats.org/officeDocument/2006/relationships/sharedStrings" Target="/xl/sharedStrings.xml" Id="Rbae9edc5727d4a45" /><Relationship Type="http://schemas.openxmlformats.org/officeDocument/2006/relationships/worksheet" Target="/xl/worksheets/sheet1.xml" Id="R4b0000068d70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6" customHeight="1">
      <x:c r="A1" s="9" t="str">
        <x:v>ПЗ-13 • Ресурсный эффект, не доказанный денежный поток</x:v>
      </x:c>
      <x:c r="B1" s="9"/>
      <x:c r="C1" s="9"/>
      <x:c r="D1" s="9"/>
      <x:c r="E1" s="9"/>
      <x:c r="F1" s="9"/>
      <x:c r="G1" s="9"/>
      <x:c r="H1" s="9"/>
      <x:c r="I1" s="9"/>
    </x:row>
    <x:row r="2" ht="30" customHeight="1">
      <x:c r="A2" s="4" t="str">
        <x:v>Все входы — условия учебного кейса. Выбор варианта и выводы делает студент. Макросов и внешних связей нет.</x:v>
      </x:c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40" customHeight="1">
      <x:c r="A4" s="13" t="str">
        <x:v>Исходный параметр</x:v>
      </x:c>
      <x:c r="B4" s="13" t="str">
        <x:v>Значение</x:v>
      </x:c>
      <x:c r="C4" s="13" t="str">
        <x:v>Основание</x:v>
      </x:c>
      <x:c r="D4" s="4"/>
      <x:c r="E4" s="4" t="str">
        <x:v>Наблюдение К07</x:v>
      </x:c>
      <x:c r="F4" s="4" t="str">
        <x:v>Что измерено</x:v>
      </x:c>
      <x:c r="G4" s="4"/>
      <x:c r="H4" s="4"/>
      <x:c r="I4" s="4"/>
    </x:row>
    <x:row r="5" ht="24" customHeight="1">
      <x:c r="A5" s="4" t="str">
        <x:v>Базовое время, мин</x:v>
      </x:c>
      <x:c r="B5" s="4" t="n">
        <x:f>AVERAGE(E5:E9)</x:f>
        <x:v>80</x:v>
      </x:c>
      <x:c r="C5" s="4" t="str">
        <x:v>Среднее К07</x:v>
      </x:c>
      <x:c r="D5" s="4"/>
      <x:c r="E5" s="16" t="n">
        <x:v>75</x:v>
      </x:c>
      <x:c r="F5" s="4" t="str">
        <x:v>Активная подготовка</x:v>
      </x:c>
      <x:c r="G5" s="4"/>
      <x:c r="H5" s="4"/>
      <x:c r="I5" s="4"/>
    </x:row>
    <x:row r="6" ht="24" customHeight="1">
      <x:c r="A6" s="4" t="str">
        <x:v>Отчётов в месяц</x:v>
      </x:c>
      <x:c r="B6" s="16" t="n">
        <x:v>22</x:v>
      </x:c>
      <x:c r="C6" s="4" t="str">
        <x:v>К07</x:v>
      </x:c>
      <x:c r="D6" s="4"/>
      <x:c r="E6" s="16" t="n">
        <x:v>90</x:v>
      </x:c>
      <x:c r="F6" s="4" t="str">
        <x:v>Активная подготовка</x:v>
      </x:c>
      <x:c r="G6" s="4"/>
      <x:c r="H6" s="4"/>
      <x:c r="I6" s="4"/>
    </x:row>
    <x:row r="7" ht="24" customHeight="1">
      <x:c r="A7" s="4" t="str">
        <x:v>Оценка часа, руб.</x:v>
      </x:c>
      <x:c r="B7" s="16" t="n">
        <x:v>600</x:v>
      </x:c>
      <x:c r="C7" s="4" t="str">
        <x:v>К07; ресурсный эквивалент</x:v>
      </x:c>
      <x:c r="D7" s="4"/>
      <x:c r="E7" s="16" t="n">
        <x:v>80</x:v>
      </x:c>
      <x:c r="F7" s="4" t="str">
        <x:v>Активная подготовка</x:v>
      </x:c>
      <x:c r="G7" s="4"/>
      <x:c r="H7" s="4"/>
      <x:c r="I7" s="4"/>
    </x:row>
    <x:row r="8" ht="24" customHeight="1">
      <x:c r="A8" s="4" t="str">
        <x:v>Месяцев в году</x:v>
      </x:c>
      <x:c r="B8" s="16" t="n">
        <x:v>12</x:v>
      </x:c>
      <x:c r="C8" s="4" t="str">
        <x:v>Единица расчёта</x:v>
      </x:c>
      <x:c r="D8" s="4"/>
      <x:c r="E8" s="16" t="n">
        <x:v>70</x:v>
      </x:c>
      <x:c r="F8" s="4" t="str">
        <x:v>Активная подготовка</x:v>
      </x:c>
      <x:c r="G8" s="4"/>
      <x:c r="H8" s="4"/>
      <x:c r="I8" s="4"/>
    </x:row>
    <x:row r="9" ht="24" customHeight="1">
      <x:c r="A9" s="4" t="str">
        <x:v>Минут в часе</x:v>
      </x:c>
      <x:c r="B9" s="16" t="n">
        <x:v>60</x:v>
      </x:c>
      <x:c r="C9" s="4" t="str">
        <x:v>Единица расчёта</x:v>
      </x:c>
      <x:c r="D9" s="4"/>
      <x:c r="E9" s="16" t="n">
        <x:v>85</x:v>
      </x:c>
      <x:c r="F9" s="4" t="str">
        <x:v>Активная подготовка</x:v>
      </x:c>
      <x:c r="G9" s="4"/>
      <x:c r="H9" s="4"/>
      <x:c r="I9" s="4"/>
    </x:row>
    <x:row r="10" ht="24" customHeight="1">
      <x:c r="A10" s="4" t="str">
        <x:v>Порог разовых затрат</x:v>
      </x:c>
      <x:c r="B10" s="16" t="n">
        <x:v>120000</x:v>
      </x:c>
      <x:c r="C10" s="4" t="str">
        <x:v>К08</x:v>
      </x:c>
      <x:c r="D10" s="4"/>
      <x:c r="E10" s="4"/>
      <x:c r="F10" s="4"/>
      <x:c r="G10" s="4"/>
      <x:c r="H10" s="4"/>
      <x:c r="I10" s="4"/>
    </x:row>
    <x:row r="11" ht="24" customHeight="1">
      <x:c r="A11" s="4"/>
      <x:c r="B11" s="4"/>
      <x:c r="C11" s="4"/>
      <x:c r="D11" s="4"/>
      <x:c r="E11" s="4"/>
      <x:c r="F11" s="4"/>
      <x:c r="G11" s="4"/>
      <x:c r="H11" s="4"/>
      <x:c r="I11" s="4"/>
    </x:row>
    <x:row r="12" ht="24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ht="40" customHeight="1">
      <x:c r="A13" s="13" t="str">
        <x:v>Сценарий</x:v>
      </x:c>
      <x:c r="B13" s="13" t="str">
        <x:v>Разовые, руб.</x:v>
      </x:c>
      <x:c r="C13" s="13" t="str">
        <x:v>Поддержка/мес.</x:v>
      </x:c>
      <x:c r="D13" s="13" t="str">
        <x:v>Время, мин</x:v>
      </x:c>
      <x:c r="E13" s="13" t="str">
        <x:v>Часы/мес.</x:v>
      </x:c>
      <x:c r="F13" s="13" t="str">
        <x:v>Эквивалент/мес.</x:v>
      </x:c>
      <x:c r="G13" s="13" t="str">
        <x:v>После поддержки</x:v>
      </x:c>
      <x:c r="H13" s="13" t="str">
        <x:v>Первый год</x:v>
      </x:c>
      <x:c r="I13" s="13" t="str">
        <x:v>Источник / статус</x:v>
      </x:c>
    </x:row>
    <x:row r="14" ht="45" customHeight="1">
      <x:c r="A14" s="4" t="str">
        <x:v>A</x:v>
      </x:c>
      <x:c r="B14" s="18" t="n">
        <x:v>24000</x:v>
      </x:c>
      <x:c r="C14" s="18" t="n">
        <x:v>1000</x:v>
      </x:c>
      <x:c r="D14" s="18" t="n">
        <x:v>40</x:v>
      </x:c>
      <x:c r="E14" s="19" t="n">
        <x:f>($B$5-D14)/$B$9*$B$6</x:f>
        <x:v>14.666666666666666</x:v>
      </x:c>
      <x:c r="F14" s="19" t="n">
        <x:f>E14*$B$7</x:f>
        <x:v>8800</x:v>
      </x:c>
      <x:c r="G14" s="19" t="n">
        <x:f>F14-C14</x:f>
        <x:v>7800</x:v>
      </x:c>
      <x:c r="H14" s="19" t="n">
        <x:f>G14*$B$8-B14</x:f>
        <x:v>69600</x:v>
      </x:c>
      <x:c r="I14" s="4" t="str">
        <x:v>К09; сценарий, не замер</x:v>
      </x:c>
    </x:row>
    <x:row r="15" ht="45" customHeight="1">
      <x:c r="A15" s="4" t="str">
        <x:v>B</x:v>
      </x:c>
      <x:c r="B15" s="18" t="n">
        <x:v>90000</x:v>
      </x:c>
      <x:c r="C15" s="18" t="n">
        <x:v>3000</x:v>
      </x:c>
      <x:c r="D15" s="18" t="n">
        <x:v>20</x:v>
      </x:c>
      <x:c r="E15" s="19" t="n">
        <x:f>($B$5-D15)/$B$9*$B$6</x:f>
        <x:v>22</x:v>
      </x:c>
      <x:c r="F15" s="19" t="n">
        <x:f>E15*$B$7</x:f>
        <x:v>13200</x:v>
      </x:c>
      <x:c r="G15" s="19" t="n">
        <x:f>F15-C15</x:f>
        <x:v>10200</x:v>
      </x:c>
      <x:c r="H15" s="19" t="n">
        <x:f>G15*$B$8-B15</x:f>
        <x:v>32400</x:v>
      </x:c>
      <x:c r="I15" s="4" t="str">
        <x:v>К09; сценарий, не замер</x:v>
      </x:c>
    </x:row>
    <x:row r="16" ht="45" customHeight="1">
      <x:c r="A16" s="4" t="str">
        <x:v>B: 40 мин</x:v>
      </x:c>
      <x:c r="B16" s="18" t="n">
        <x:v>90000</x:v>
      </x:c>
      <x:c r="C16" s="18" t="n">
        <x:v>3000</x:v>
      </x:c>
      <x:c r="D16" s="18" t="n">
        <x:v>40</x:v>
      </x:c>
      <x:c r="E16" s="19" t="n">
        <x:f>($B$5-D16)/$B$9*$B$6</x:f>
        <x:v>14.666666666666666</x:v>
      </x:c>
      <x:c r="F16" s="19" t="n">
        <x:f>E16*$B$7</x:f>
        <x:v>8800</x:v>
      </x:c>
      <x:c r="G16" s="19" t="n">
        <x:f>F16-C16</x:f>
        <x:v>5800</x:v>
      </x:c>
      <x:c r="H16" s="19" t="n">
        <x:f>G16*$B$8-B16</x:f>
        <x:v>-20400</x:v>
      </x:c>
      <x:c r="I16" s="4" t="str">
        <x:v>К09; сценарий, не замер</x:v>
      </x:c>
    </x:row>
    <x:row r="17" ht="45" customHeight="1">
      <x:c r="A17" s="4" t="str">
        <x:v>A: 60 мин</x:v>
      </x:c>
      <x:c r="B17" s="18" t="n">
        <x:v>24000</x:v>
      </x:c>
      <x:c r="C17" s="18" t="n">
        <x:v>1000</x:v>
      </x:c>
      <x:c r="D17" s="18" t="n">
        <x:v>60</x:v>
      </x:c>
      <x:c r="E17" s="19" t="n">
        <x:f>($B$5-D17)/$B$9*$B$6</x:f>
        <x:v>7.333333333333333</x:v>
      </x:c>
      <x:c r="F17" s="19" t="n">
        <x:f>E17*$B$7</x:f>
        <x:v>4400</x:v>
      </x:c>
      <x:c r="G17" s="19" t="n">
        <x:f>F17-C17</x:f>
        <x:v>3400</x:v>
      </x:c>
      <x:c r="H17" s="19" t="n">
        <x:f>G17*$B$8-B17</x:f>
        <x:v>16800</x:v>
      </x:c>
      <x:c r="I17" s="4" t="str">
        <x:v>К09; сценарий, не замер</x:v>
      </x:c>
    </x:row>
    <x:row r="18" ht="45" customHeight="1">
      <x:c r="A18" s="4" t="str">
        <x:v>Личный</x:v>
      </x:c>
      <x:c r="B18" s="18" t="n">
        <x:v>90000</x:v>
      </x:c>
      <x:c r="C18" s="18" t="n">
        <x:v>3000</x:v>
      </x:c>
      <x:c r="D18" s="18" t="n">
        <x:v>30</x:v>
      </x:c>
      <x:c r="E18" s="19" t="n">
        <x:f>($B$5-D18)/$B$9*$B$6</x:f>
        <x:v>18.333333333333336</x:v>
      </x:c>
      <x:c r="F18" s="19" t="n">
        <x:f>E18*$B$7</x:f>
        <x:v>11000.000000000002</x:v>
      </x:c>
      <x:c r="G18" s="19" t="n">
        <x:f>F18-C18</x:f>
        <x:v>8000.000000000002</x:v>
      </x:c>
      <x:c r="H18" s="19" t="n">
        <x:f>G18*$B$8-B18</x:f>
        <x:v>6000.000000000029</x:v>
      </x:c>
      <x:c r="I18" s="4" t="str">
        <x:v>Выбран студентом; укажите основание</x:v>
      </x:c>
    </x:row>
    <x:row r="19" ht="24" customHeight="1">
      <x:c r="A19" s="4"/>
      <x:c r="B19" s="4"/>
      <x:c r="C19" s="4"/>
      <x:c r="D19" s="4"/>
      <x:c r="E19" s="4"/>
      <x:c r="F19" s="4"/>
      <x:c r="G19" s="4"/>
      <x:c r="H19" s="4"/>
      <x:c r="I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ht="30" customHeight="1">
      <x:c r="A21" s="4" t="str">
        <x:v>Первый год = (эквивалент высвобождённого времени − поддержка) × 12 − разовые затраты. Это ресурсный сценарий. При неизменном фонде оплаты труда деньги автоматически не высвобождаются. Нельзя обещать cash-flow или денежную окупаемость только по этой таблице.</x:v>
      </x:c>
      <x:c r="B21" s="4"/>
      <x:c r="C21" s="4"/>
      <x:c r="D21" s="4"/>
      <x:c r="E21" s="4"/>
      <x:c r="F21" s="4"/>
      <x:c r="G21" s="4"/>
      <x:c r="H21" s="4"/>
      <x:c r="I21" s="4"/>
    </x:row>
    <x:row r="22" ht="30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ht="30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ht="28" customHeight="1">
      <x:c r="A25" s="4" t="str">
        <x:v>Личный сценарий: измените D18 и/или B18:C18, оставив формулы E:H. Укажите в ответе происхождение новых предположений, единицы, результат и ограничение. Отрицательная величина не является ошибкой формулы.</x:v>
      </x:c>
      <x:c r="B25" s="4"/>
      <x:c r="C25" s="4"/>
      <x:c r="D25" s="4"/>
      <x:c r="E25" s="4"/>
      <x:c r="F25" s="4"/>
      <x:c r="G25" s="4"/>
      <x:c r="H25" s="4"/>
      <x:c r="I25" s="4"/>
    </x:row>
    <x:row r="26" ht="28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ht="28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</x:row>
  </x:sheetData>
  <x:mergeCells>
    <x:mergeCell ref="A1:I1"/>
    <x:mergeCell ref="A2:I2"/>
    <x:mergeCell ref="A21:I23"/>
    <x:mergeCell ref="A25:I27"/>
  </x:mergeCells>
  <x:conditionalFormatting sqref="H14:H18">
    <x:cfRule type="expression" dxfId="0" priority="1">
      <x:formula>H14&lt;0</x:formula>
    </x:cfRule>
  </x:conditionalFormatting>
  <x:pageMargins left="0.7" right="0.7" top="0.75" bottom="0.75" header="0.3" footer="0.3"/>
</x:worksheet>
</file>
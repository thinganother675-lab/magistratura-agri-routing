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10797f8b0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и" sheetId="1" r:id="Rcd6be430b66d498c"/>
    <x:sheet xmlns:r="http://schemas.openxmlformats.org/officeDocument/2006/relationships" name="Исходные" sheetId="2" r:id="R36f80f242d604639"/>
    <x:sheet xmlns:r="http://schemas.openxmlformats.org/officeDocument/2006/relationships" name="Модель" sheetId="3" r:id="R1e08e4be808442aa"/>
    <x:sheet xmlns:r="http://schemas.openxmlformats.org/officeDocument/2006/relationships" name="Протокол" sheetId="4" r:id="Reb45a1ae2f7e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b/>
      <x:sz val="11"/>
      <x:color rgb="FF215C97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F49"/>
      </x:patternFill>
    </x:fill>
    <x:fill>
      <x:patternFill patternType="solid">
        <x:fgColor rgb="FFFFF0CD"/>
      </x:patternFill>
    </x:fill>
    <x:fill>
      <x:patternFill patternType="solid">
        <x:fgColor rgb="FFE5EFF1"/>
      </x:patternFill>
    </x:fill>
    <x:fill>
      <x:patternFill patternType="solid">
        <x:fgColor rgb="FFFFF6D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E0F0E5"/>
        </x:patternFill>
      </x:fill>
    </x:dxf>
    <x:dxf>
      <x:fill>
        <x:patternFill>
          <x:bgColor rgb="FFF8DBD7"/>
        </x:patternFill>
      </x:fill>
    </x:dxf>
    <x:dxf>
      <x:fill>
        <x:patternFill>
          <x:bgColor rgb="FFF4E9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f17048f3146f9" /><Relationship Type="http://schemas.openxmlformats.org/officeDocument/2006/relationships/theme" Target="/xl/theme/theme1.xml" Id="Rc428c432b0ac4e6c" /><Relationship Type="http://schemas.openxmlformats.org/officeDocument/2006/relationships/sharedStrings" Target="/xl/sharedStrings.xml" Id="Re1e5a51a43e04c09" /><Relationship Type="http://schemas.openxmlformats.org/officeDocument/2006/relationships/worksheet" Target="/xl/worksheets/sheet1.xml" Id="Rcd6be430b66d498c" /><Relationship Type="http://schemas.openxmlformats.org/officeDocument/2006/relationships/worksheet" Target="/xl/worksheets/sheet2.xml" Id="R36f80f242d604639" /><Relationship Type="http://schemas.openxmlformats.org/officeDocument/2006/relationships/worksheet" Target="/xl/worksheets/sheet3.xml" Id="R1e08e4be808442aa" /><Relationship Type="http://schemas.openxmlformats.org/officeDocument/2006/relationships/worksheet" Target="/xl/worksheets/sheet4.xml" Id="Reb45a1ae2f7e4d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ПЗ-12 • Модель правила учёта</x:v>
      </x:c>
      <x:c r="B1" s="9"/>
      <x:c r="C1" s="9"/>
      <x:c r="D1" s="9"/>
      <x:c r="E1" s="4"/>
      <x:c r="F1" s="4"/>
      <x:c r="G1" s="4"/>
      <x:c r="H1" s="4"/>
      <x:c r="I1" s="4"/>
      <x:c r="J1" s="4"/>
    </x:row>
    <x:row r="2" ht="40" customHeight="1">
      <x:c r="A2" s="4" t="str">
        <x:v>Учебная пакетная модель; не сервер и не промышленная система. Сначала запишите ожидания.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4" t="str">
        <x:v>Исключать точные повторы</x:v>
      </x:c>
      <x:c r="B4" s="13" t="n">
        <x:v>1</x:v>
      </x:c>
      <x:c r="C4" s="4" t="str">
        <x:v>0 = нет, 1 = да</x:v>
      </x:c>
      <x:c r="D4" s="4"/>
      <x:c r="E4" s="4"/>
      <x:c r="F4" s="4"/>
      <x:c r="G4" s="4"/>
      <x:c r="H4" s="4"/>
      <x:c r="I4" s="4"/>
      <x:c r="J4" s="4"/>
    </x:row>
    <x:row r="5" ht="24" customHeight="1">
      <x:c r="A5" s="4" t="str">
        <x:v>Учитывать только confirmed</x:v>
      </x:c>
      <x:c r="B5" s="13" t="n">
        <x:v>1</x:v>
      </x:c>
      <x:c r="C5" s="4" t="str">
        <x:v>0 = нет, 1 = да</x:v>
      </x:c>
      <x:c r="D5" s="4"/>
      <x:c r="E5" s="4"/>
      <x:c r="F5" s="4"/>
      <x:c r="G5" s="4"/>
      <x:c r="H5" s="4"/>
      <x:c r="I5" s="4"/>
      <x:c r="J5" s="4"/>
    </x:row>
    <x:row r="6" ht="24" customHeight="1">
      <x:c r="A6" s="4" t="str">
        <x:v>Исключать конфликтный OP</x:v>
      </x:c>
      <x:c r="B6" s="13" t="n">
        <x:v>1</x:v>
      </x:c>
      <x:c r="C6" s="4" t="str">
        <x:v>0 = нет, 1 = да</x:v>
      </x:c>
      <x:c r="D6" s="4"/>
      <x:c r="E6" s="4"/>
      <x:c r="F6" s="4"/>
      <x:c r="G6" s="4"/>
      <x:c r="H6" s="4"/>
      <x:c r="I6" s="4"/>
      <x:c r="J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 ht="24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 ht="24" customHeight="1">
      <x:c r="A9" s="16" t="str">
        <x:v>Наблюдаемый результат</x:v>
      </x:c>
      <x:c r="B9" s="16"/>
      <x:c r="C9" s="16"/>
      <x:c r="D9" s="16"/>
      <x:c r="E9" s="4"/>
      <x:c r="F9" s="4"/>
      <x:c r="G9" s="4"/>
      <x:c r="H9" s="4"/>
      <x:c r="I9" s="4"/>
      <x:c r="J9" s="4"/>
    </x:row>
    <x:row r="10" ht="24" customHeight="1">
      <x:c r="A10" s="4" t="str">
        <x:v>Сумма учтённой части, кг</x:v>
      </x:c>
      <x:c r="B10" s="4" t="n">
        <x:f>SUM('Модель'!I5:I34)</x:f>
        <x:v>410</x:v>
      </x:c>
      <x:c r="C10" s="4"/>
      <x:c r="D10" s="4"/>
      <x:c r="E10" s="4"/>
      <x:c r="F10" s="4"/>
      <x:c r="G10" s="4"/>
      <x:c r="H10" s="4"/>
      <x:c r="I10" s="4"/>
      <x:c r="J10" s="4"/>
    </x:row>
    <x:row r="11" ht="24" customHeight="1">
      <x:c r="A11" s="4" t="str">
        <x:v>Число учтённых строк</x:v>
      </x:c>
      <x:c r="B11" s="4" t="n">
        <x:f>COUNTIF('Модель'!H5:H34,"УЧЕСТЬ")</x:f>
        <x:v>4</x:v>
      </x:c>
      <x:c r="C11" s="4"/>
      <x:c r="D11" s="4"/>
      <x:c r="E11" s="4"/>
      <x:c r="F11" s="4"/>
      <x:c r="G11" s="4"/>
      <x:c r="H11" s="4"/>
      <x:c r="I11" s="4"/>
      <x:c r="J11" s="4"/>
    </x:row>
    <x:row r="12" ht="24" customHeight="1">
      <x:c r="A12" s="4" t="str">
        <x:v>Число повторных строк</x:v>
      </x:c>
      <x:c r="B12" s="4" t="n">
        <x:f>COUNTIF('Модель'!H5:H34,"ПОВТОР")</x:f>
        <x:v>1</x:v>
      </x:c>
      <x:c r="C12" s="4"/>
      <x:c r="D12" s="4"/>
      <x:c r="E12" s="4"/>
      <x:c r="F12" s="4"/>
      <x:c r="G12" s="4"/>
      <x:c r="H12" s="4"/>
      <x:c r="I12" s="4"/>
      <x:c r="J12" s="4"/>
    </x:row>
    <x:row r="13" ht="24" customHeight="1">
      <x:c r="A13" s="4" t="str">
        <x:v>Число конфликтных строк</x:v>
      </x:c>
      <x:c r="B13" s="4" t="n">
        <x:f>COUNTIF('Модель'!H5:H34,"КОНФЛИКТ")</x:f>
        <x:v>2</x:v>
      </x:c>
      <x:c r="C13" s="4"/>
      <x:c r="D13" s="4"/>
      <x:c r="E13" s="4"/>
      <x:c r="F13" s="4"/>
      <x:c r="G13" s="4"/>
      <x:c r="H13" s="4"/>
      <x:c r="I13" s="4"/>
      <x:c r="J13" s="4"/>
    </x:row>
    <x:row r="14" ht="24" customHeight="1">
      <x:c r="A14" s="4" t="str">
        <x:v>Число ожидающих подтверждения</x:v>
      </x:c>
      <x:c r="B14" s="4" t="n">
        <x:f>COUNTIF('Модель'!H5:H34,"ОЖИДАНИЕ")</x:f>
        <x:v>1</x:v>
      </x:c>
      <x:c r="C14" s="4"/>
      <x:c r="D14" s="4"/>
      <x:c r="E14" s="4"/>
      <x:c r="F14" s="4"/>
      <x:c r="G14" s="4"/>
      <x:c r="H14" s="4"/>
      <x:c r="I14" s="4"/>
      <x:c r="J14" s="4"/>
    </x:row>
    <x:row r="15" ht="24" customHeight="1">
      <x:c r="A15" s="4" t="str">
        <x:v>Число недопустимых строк</x:v>
      </x:c>
      <x:c r="B15" s="4" t="n">
        <x:f>COUNTIF('Модель'!H5:H34,"НЕДОПУСТИМО")</x:f>
        <x:v>1</x:v>
      </x:c>
      <x:c r="C15" s="4"/>
      <x:c r="D15" s="4"/>
      <x:c r="E15" s="4"/>
      <x:c r="F15" s="4"/>
      <x:c r="G15" s="4"/>
      <x:c r="H15" s="4"/>
      <x:c r="I15" s="4"/>
      <x:c r="J15" s="4"/>
    </x:row>
    <x:row r="16" ht="24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24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32" customHeight="1">
      <x:c r="A18" s="4" t="str">
        <x:v>При 0/0/0 контрольный набор даёт 810 кг. Это намеренно слабая настройка. Правильность оценивайте не только по сумме, но и по решениям для строк.</x:v>
      </x:c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32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28" customHeight="1">
      <x:c r="A21" s="4" t="str">
        <x:v>В «Модель» меняются только A5:D34. E:I — открытые формулы. Для возврата к началу скопируйте A5:D13 листа «Исходные» как значения. Не включайте макросы: их здесь нет.</x:v>
      </x:c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2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2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8" customHeight="1">
      <x:c r="A25" s="4" t="str">
        <x:v>Модель проверяет OP, количество и статус. Она не проверяет дату, склад, корм, группу, права, сеть, одновременные транзакции и восстановление. Пустое количество и неизвестный статус — недопустимые входы.</x:v>
      </x:c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8" customHeight="1">
      <x:c r="A29" s="4" t="str">
        <x:v>Прозрачность: E — допустимость; F — конфликт в наборе; G — номер появления OP; H — выбранное действие; I — вклад в сумму. При конфликте исключаются все варианты данного OP. Источник: условия К02/К06 практикума.</x:v>
      </x:c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2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D1"/>
    <x:mergeCell ref="A2:D2"/>
    <x:mergeCell ref="A18:D19"/>
    <x:mergeCell ref="A21:D23"/>
    <x:mergeCell ref="A25:D27"/>
    <x:mergeCell ref="A29:D31"/>
  </x:mergeCells>
  <x:dataValidations count="1">
    <x:dataValidation type="list" sqref="B4:B6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ПЗ-12 • Неизменяемый контрольный набор</x:v>
      </x:c>
      <x:c r="B1" s="9"/>
      <x:c r="C1" s="9"/>
      <x:c r="D1" s="9"/>
      <x:c r="E1" s="9"/>
      <x:c r="F1" s="9"/>
      <x:c r="G1" s="9"/>
      <x:c r="H1" s="9"/>
      <x:c r="I1" s="9"/>
      <x:c r="J1" s="4"/>
    </x:row>
    <x:row r="2" ht="30" customHeight="1">
      <x:c r="A2" s="4" t="str">
        <x:v>Строки 5–34: ввод. Все данные синтетические. confirmed = подтверждена; pending = ожидание.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18" t="str">
        <x:v>message_id</x:v>
      </x:c>
      <x:c r="B4" s="18" t="str">
        <x:v>operation_id</x:v>
      </x:c>
      <x:c r="C4" s="18" t="str">
        <x:v>quantity_kg</x:v>
      </x:c>
      <x:c r="D4" s="18" t="str">
        <x:v>status</x:v>
      </x:c>
      <x:c r="E4" s="4"/>
      <x:c r="F4" s="4"/>
      <x:c r="G4" s="4"/>
      <x:c r="H4" s="4"/>
      <x:c r="I4" s="4"/>
      <x:c r="J4" s="4"/>
    </x:row>
    <x:row r="5" ht="24" customHeight="1">
      <x:c r="A5" s="4" t="str">
        <x:v>M01</x:v>
      </x:c>
      <x:c r="B5" s="4" t="str">
        <x:v>OP-101</x:v>
      </x:c>
      <x:c r="C5" s="20" t="n">
        <x:v>100</x:v>
      </x:c>
      <x:c r="D5" s="4" t="str">
        <x:v>confirmed</x:v>
      </x:c>
      <x:c r="E5" s="4"/>
      <x:c r="F5" s="4"/>
      <x:c r="G5" s="4"/>
      <x:c r="H5" s="4"/>
      <x:c r="I5" s="4"/>
      <x:c r="J5" s="4"/>
    </x:row>
    <x:row r="6" ht="24" customHeight="1">
      <x:c r="A6" s="4" t="str">
        <x:v>M02</x:v>
      </x:c>
      <x:c r="B6" s="4" t="str">
        <x:v>OP-102</x:v>
      </x:c>
      <x:c r="C6" s="20" t="n">
        <x:v>200</x:v>
      </x:c>
      <x:c r="D6" s="4" t="str">
        <x:v>confirmed</x:v>
      </x:c>
      <x:c r="E6" s="4"/>
      <x:c r="F6" s="4"/>
      <x:c r="G6" s="4"/>
      <x:c r="H6" s="4"/>
      <x:c r="I6" s="4"/>
      <x:c r="J6" s="4"/>
    </x:row>
    <x:row r="7" ht="24" customHeight="1">
      <x:c r="A7" s="4" t="str">
        <x:v>M03</x:v>
      </x:c>
      <x:c r="B7" s="4" t="str">
        <x:v>OP-101</x:v>
      </x:c>
      <x:c r="C7" s="20" t="n">
        <x:v>100</x:v>
      </x:c>
      <x:c r="D7" s="4" t="str">
        <x:v>confirmed</x:v>
      </x:c>
      <x:c r="E7" s="4"/>
      <x:c r="F7" s="4"/>
      <x:c r="G7" s="4"/>
      <x:c r="H7" s="4"/>
      <x:c r="I7" s="4"/>
      <x:c r="J7" s="4"/>
    </x:row>
    <x:row r="8" ht="24" customHeight="1">
      <x:c r="A8" s="4" t="str">
        <x:v>M04</x:v>
      </x:c>
      <x:c r="B8" s="4" t="str">
        <x:v>OP-103</x:v>
      </x:c>
      <x:c r="C8" s="20"/>
      <x:c r="D8" s="4" t="str">
        <x:v>confirmed</x:v>
      </x:c>
      <x:c r="E8" s="4"/>
      <x:c r="F8" s="4"/>
      <x:c r="G8" s="4"/>
      <x:c r="H8" s="4"/>
      <x:c r="I8" s="4"/>
      <x:c r="J8" s="4"/>
    </x:row>
    <x:row r="9" ht="24" customHeight="1">
      <x:c r="A9" s="4" t="str">
        <x:v>M05</x:v>
      </x:c>
      <x:c r="B9" s="4" t="str">
        <x:v>OP-104</x:v>
      </x:c>
      <x:c r="C9" s="20" t="n">
        <x:v>50</x:v>
      </x:c>
      <x:c r="D9" s="4" t="str">
        <x:v>pending</x:v>
      </x:c>
      <x:c r="E9" s="4"/>
      <x:c r="F9" s="4"/>
      <x:c r="G9" s="4"/>
      <x:c r="H9" s="4"/>
      <x:c r="I9" s="4"/>
      <x:c r="J9" s="4"/>
    </x:row>
    <x:row r="10" ht="24" customHeight="1">
      <x:c r="A10" s="4" t="str">
        <x:v>M06</x:v>
      </x:c>
      <x:c r="B10" s="4" t="str">
        <x:v>OP-105</x:v>
      </x:c>
      <x:c r="C10" s="20" t="n">
        <x:v>120</x:v>
      </x:c>
      <x:c r="D10" s="4" t="str">
        <x:v>confirmed</x:v>
      </x:c>
      <x:c r="E10" s="4"/>
      <x:c r="F10" s="4"/>
      <x:c r="G10" s="4"/>
      <x:c r="H10" s="4"/>
      <x:c r="I10" s="4"/>
      <x:c r="J10" s="4"/>
    </x:row>
    <x:row r="11" ht="24" customHeight="1">
      <x:c r="A11" s="4" t="str">
        <x:v>M07</x:v>
      </x:c>
      <x:c r="B11" s="4" t="str">
        <x:v>OP-105</x:v>
      </x:c>
      <x:c r="C11" s="20" t="n">
        <x:v>130</x:v>
      </x:c>
      <x:c r="D11" s="4" t="str">
        <x:v>confirmed</x:v>
      </x:c>
      <x:c r="E11" s="4"/>
      <x:c r="F11" s="4"/>
      <x:c r="G11" s="4"/>
      <x:c r="H11" s="4"/>
      <x:c r="I11" s="4"/>
      <x:c r="J11" s="4"/>
    </x:row>
    <x:row r="12" ht="24" customHeight="1">
      <x:c r="A12" s="4" t="str">
        <x:v>M08</x:v>
      </x:c>
      <x:c r="B12" s="4" t="str">
        <x:v>OP-106</x:v>
      </x:c>
      <x:c r="C12" s="20" t="n">
        <x:v>80</x:v>
      </x:c>
      <x:c r="D12" s="4" t="str">
        <x:v>confirmed</x:v>
      </x:c>
      <x:c r="E12" s="4"/>
      <x:c r="F12" s="4"/>
      <x:c r="G12" s="4"/>
      <x:c r="H12" s="4"/>
      <x:c r="I12" s="4"/>
      <x:c r="J12" s="4"/>
    </x:row>
    <x:row r="13" ht="24" customHeight="1">
      <x:c r="A13" s="4" t="str">
        <x:v>M09</x:v>
      </x:c>
      <x:c r="B13" s="4" t="str">
        <x:v>OP-107</x:v>
      </x:c>
      <x:c r="C13" s="20" t="n">
        <x:v>30</x:v>
      </x:c>
      <x:c r="D13" s="4" t="str">
        <x:v>confirmed</x:v>
      </x:c>
      <x:c r="E13" s="4"/>
      <x:c r="F13" s="4"/>
      <x:c r="G13" s="4"/>
      <x:c r="H13" s="4"/>
      <x:c r="I13" s="4"/>
      <x:c r="J13" s="4"/>
    </x:row>
    <x:row r="14" ht="24" customHeight="1">
      <x:c r="A14" s="4"/>
      <x:c r="B14" s="4"/>
      <x:c r="C14" s="20"/>
      <x:c r="D14" s="4"/>
      <x:c r="E14" s="4"/>
      <x:c r="F14" s="4"/>
      <x:c r="G14" s="4"/>
      <x:c r="H14" s="4"/>
      <x:c r="I14" s="4"/>
      <x:c r="J14" s="4"/>
    </x:row>
    <x:row r="15" ht="24" customHeight="1">
      <x:c r="A15" s="4"/>
      <x:c r="B15" s="4"/>
      <x:c r="C15" s="20"/>
      <x:c r="D15" s="4"/>
      <x:c r="E15" s="4"/>
      <x:c r="F15" s="4"/>
      <x:c r="G15" s="4"/>
      <x:c r="H15" s="4"/>
      <x:c r="I15" s="4"/>
      <x:c r="J15" s="4"/>
    </x:row>
    <x:row r="16" ht="24" customHeight="1">
      <x:c r="A16" s="4"/>
      <x:c r="B16" s="4"/>
      <x:c r="C16" s="20"/>
      <x:c r="D16" s="4"/>
      <x:c r="E16" s="4"/>
      <x:c r="F16" s="4"/>
      <x:c r="G16" s="4"/>
      <x:c r="H16" s="4"/>
      <x:c r="I16" s="4"/>
      <x:c r="J16" s="4"/>
    </x:row>
    <x:row r="17" ht="24" customHeight="1">
      <x:c r="A17" s="4"/>
      <x:c r="B17" s="4"/>
      <x:c r="C17" s="20"/>
      <x:c r="D17" s="4"/>
      <x:c r="E17" s="4"/>
      <x:c r="F17" s="4"/>
      <x:c r="G17" s="4"/>
      <x:c r="H17" s="4"/>
      <x:c r="I17" s="4"/>
      <x:c r="J17" s="4"/>
    </x:row>
    <x:row r="18" ht="24" customHeight="1">
      <x:c r="A18" s="4"/>
      <x:c r="B18" s="4"/>
      <x:c r="C18" s="20"/>
      <x:c r="D18" s="4"/>
      <x:c r="E18" s="4"/>
      <x:c r="F18" s="4"/>
      <x:c r="G18" s="4"/>
      <x:c r="H18" s="4"/>
      <x:c r="I18" s="4"/>
      <x:c r="J18" s="4"/>
    </x:row>
    <x:row r="19" ht="24" customHeight="1">
      <x:c r="A19" s="4"/>
      <x:c r="B19" s="4"/>
      <x:c r="C19" s="20"/>
      <x:c r="D19" s="4"/>
      <x:c r="E19" s="4"/>
      <x:c r="F19" s="4"/>
      <x:c r="G19" s="4"/>
      <x:c r="H19" s="4"/>
      <x:c r="I19" s="4"/>
      <x:c r="J19" s="4"/>
    </x:row>
    <x:row r="20" ht="24" customHeight="1">
      <x:c r="A20" s="4"/>
      <x:c r="B20" s="4"/>
      <x:c r="C20" s="20"/>
      <x:c r="D20" s="4"/>
      <x:c r="E20" s="4"/>
      <x:c r="F20" s="4"/>
      <x:c r="G20" s="4"/>
      <x:c r="H20" s="4"/>
      <x:c r="I20" s="4"/>
      <x:c r="J20" s="4"/>
    </x:row>
    <x:row r="21" ht="24" customHeight="1">
      <x:c r="A21" s="4"/>
      <x:c r="B21" s="4"/>
      <x:c r="C21" s="20"/>
      <x:c r="D21" s="4"/>
      <x:c r="E21" s="4"/>
      <x:c r="F21" s="4"/>
      <x:c r="G21" s="4"/>
      <x:c r="H21" s="4"/>
      <x:c r="I21" s="4"/>
      <x:c r="J21" s="4"/>
    </x:row>
    <x:row r="22" ht="24" customHeight="1">
      <x:c r="A22" s="4"/>
      <x:c r="B22" s="4"/>
      <x:c r="C22" s="20"/>
      <x:c r="D22" s="4"/>
      <x:c r="E22" s="4"/>
      <x:c r="F22" s="4"/>
      <x:c r="G22" s="4"/>
      <x:c r="H22" s="4"/>
      <x:c r="I22" s="4"/>
      <x:c r="J22" s="4"/>
    </x:row>
    <x:row r="23" ht="24" customHeight="1">
      <x:c r="A23" s="4"/>
      <x:c r="B23" s="4"/>
      <x:c r="C23" s="20"/>
      <x:c r="D23" s="4"/>
      <x:c r="E23" s="4"/>
      <x:c r="F23" s="4"/>
      <x:c r="G23" s="4"/>
      <x:c r="H23" s="4"/>
      <x:c r="I23" s="4"/>
      <x:c r="J23" s="4"/>
    </x:row>
    <x:row r="24" ht="24" customHeight="1">
      <x:c r="A24" s="4"/>
      <x:c r="B24" s="4"/>
      <x:c r="C24" s="20"/>
      <x:c r="D24" s="4"/>
      <x:c r="E24" s="4"/>
      <x:c r="F24" s="4"/>
      <x:c r="G24" s="4"/>
      <x:c r="H24" s="4"/>
      <x:c r="I24" s="4"/>
      <x:c r="J24" s="4"/>
    </x:row>
    <x:row r="25" ht="24" customHeight="1">
      <x:c r="A25" s="4"/>
      <x:c r="B25" s="4"/>
      <x:c r="C25" s="20"/>
      <x:c r="D25" s="4"/>
      <x:c r="E25" s="4"/>
      <x:c r="F25" s="4"/>
      <x:c r="G25" s="4"/>
      <x:c r="H25" s="4"/>
      <x:c r="I25" s="4"/>
      <x:c r="J25" s="4"/>
    </x:row>
    <x:row r="26" ht="24" customHeight="1">
      <x:c r="A26" s="4"/>
      <x:c r="B26" s="4"/>
      <x:c r="C26" s="20"/>
      <x:c r="D26" s="4"/>
      <x:c r="E26" s="4"/>
      <x:c r="F26" s="4"/>
      <x:c r="G26" s="4"/>
      <x:c r="H26" s="4"/>
      <x:c r="I26" s="4"/>
      <x:c r="J26" s="4"/>
    </x:row>
    <x:row r="27" ht="24" customHeight="1">
      <x:c r="A27" s="4"/>
      <x:c r="B27" s="4"/>
      <x:c r="C27" s="20"/>
      <x:c r="D27" s="4"/>
      <x:c r="E27" s="4"/>
      <x:c r="F27" s="4"/>
      <x:c r="G27" s="4"/>
      <x:c r="H27" s="4"/>
      <x:c r="I27" s="4"/>
      <x:c r="J27" s="4"/>
    </x:row>
    <x:row r="28" ht="24" customHeight="1">
      <x:c r="A28" s="4"/>
      <x:c r="B28" s="4"/>
      <x:c r="C28" s="20"/>
      <x:c r="D28" s="4"/>
      <x:c r="E28" s="4"/>
      <x:c r="F28" s="4"/>
      <x:c r="G28" s="4"/>
      <x:c r="H28" s="4"/>
      <x:c r="I28" s="4"/>
      <x:c r="J28" s="4"/>
    </x:row>
    <x:row r="29" ht="24" customHeight="1">
      <x:c r="A29" s="4"/>
      <x:c r="B29" s="4"/>
      <x:c r="C29" s="20"/>
      <x:c r="D29" s="4"/>
      <x:c r="E29" s="4"/>
      <x:c r="F29" s="4"/>
      <x:c r="G29" s="4"/>
      <x:c r="H29" s="4"/>
      <x:c r="I29" s="4"/>
      <x:c r="J29" s="4"/>
    </x:row>
    <x:row r="30" ht="24" customHeight="1">
      <x:c r="A30" s="4"/>
      <x:c r="B30" s="4"/>
      <x:c r="C30" s="20"/>
      <x:c r="D30" s="4"/>
      <x:c r="E30" s="4"/>
      <x:c r="F30" s="4"/>
      <x:c r="G30" s="4"/>
      <x:c r="H30" s="4"/>
      <x:c r="I30" s="4"/>
      <x:c r="J30" s="4"/>
    </x:row>
    <x:row r="31" ht="24" customHeight="1">
      <x:c r="A31" s="4"/>
      <x:c r="B31" s="4"/>
      <x:c r="C31" s="20"/>
      <x:c r="D31" s="4"/>
      <x:c r="E31" s="4"/>
      <x:c r="F31" s="4"/>
      <x:c r="G31" s="4"/>
      <x:c r="H31" s="4"/>
      <x:c r="I31" s="4"/>
      <x:c r="J31" s="4"/>
    </x:row>
    <x:row r="32" ht="24" customHeight="1">
      <x:c r="A32" s="4"/>
      <x:c r="B32" s="4"/>
      <x:c r="C32" s="20"/>
      <x:c r="D32" s="4"/>
      <x:c r="E32" s="4"/>
      <x:c r="F32" s="4"/>
      <x:c r="G32" s="4"/>
      <x:c r="H32" s="4"/>
      <x:c r="I32" s="4"/>
      <x:c r="J32" s="4"/>
    </x:row>
    <x:row r="33" ht="24" customHeight="1">
      <x:c r="A33" s="4"/>
      <x:c r="B33" s="4"/>
      <x:c r="C33" s="20"/>
      <x:c r="D33" s="4"/>
      <x:c r="E33" s="4"/>
      <x:c r="F33" s="4"/>
      <x:c r="G33" s="4"/>
      <x:c r="H33" s="4"/>
      <x:c r="I33" s="4"/>
      <x:c r="J33" s="4"/>
    </x:row>
    <x:row r="34" ht="24" customHeight="1">
      <x:c r="A34" s="4"/>
      <x:c r="B34" s="4"/>
      <x:c r="C34" s="20"/>
      <x:c r="D34" s="4"/>
      <x:c r="E34" s="4"/>
      <x:c r="F34" s="4"/>
      <x:c r="G34" s="4"/>
      <x:c r="H34" s="4"/>
      <x:c r="I34" s="4"/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ПЗ-12 • Входы и прозрачное правило</x:v>
      </x:c>
      <x:c r="B1" s="9"/>
      <x:c r="C1" s="9"/>
      <x:c r="D1" s="9"/>
      <x:c r="E1" s="9"/>
      <x:c r="F1" s="9"/>
      <x:c r="G1" s="9"/>
      <x:c r="H1" s="9"/>
      <x:c r="I1" s="9"/>
      <x:c r="J1" s="4"/>
    </x:row>
    <x:row r="2" ht="30" customHeight="1">
      <x:c r="A2" s="4" t="str">
        <x:v>Строки 5–34: ввод. Все данные синтетические. confirmed = подтверждена; pending = ожидание.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18" t="str">
        <x:v>message_id</x:v>
      </x:c>
      <x:c r="B4" s="18" t="str">
        <x:v>operation_id</x:v>
      </x:c>
      <x:c r="C4" s="18" t="str">
        <x:v>quantity_kg</x:v>
      </x:c>
      <x:c r="D4" s="18" t="str">
        <x:v>status</x:v>
      </x:c>
      <x:c r="E4" s="18" t="str">
        <x:v>Допустима (1/0)</x:v>
      </x:c>
      <x:c r="F4" s="18" t="str">
        <x:v>Конфликт (1/0)</x:v>
      </x:c>
      <x:c r="G4" s="18" t="str">
        <x:v>Появление OP</x:v>
      </x:c>
      <x:c r="H4" s="18" t="str">
        <x:v>Решение</x:v>
      </x:c>
      <x:c r="I4" s="18" t="str">
        <x:v>Вклад, кг</x:v>
      </x:c>
      <x:c r="J4" s="4"/>
    </x:row>
    <x:row r="5" ht="24" customHeight="1">
      <x:c r="A5" s="22" t="str">
        <x:v>M01</x:v>
      </x:c>
      <x:c r="B5" s="22" t="str">
        <x:v>OP-101</x:v>
      </x:c>
      <x:c r="C5" s="26" t="n">
        <x:v>100</x:v>
      </x:c>
      <x:c r="D5" s="22" t="str">
        <x:v>confirmed</x:v>
      </x:c>
      <x:c r="E5" s="4" t="n">
        <x:f>IF(COUNTA(A5:D5)=0,"",IF(AND(B5&lt;&gt;"",ISNUMBER(C5),C5&gt;0,OR(D5="confirmed",D5="pending")),1,0))</x:f>
        <x:v>1</x:v>
      </x:c>
      <x:c r="F5" s="4" t="n">
        <x:f>IF(COUNTA(A5:D5)=0,"",IF(COUNTIF($B$5:$B$34,B5)&lt;=1,0,IF(COUNTIF($B$5:$B$34,B5)&gt;COUNTIFS($B$5:$B$34,B5,$C$5:$C$34,C5,$D$5:$D$34,D5),1,0)))</x:f>
        <x:v>0</x:v>
      </x:c>
      <x:c r="G5" s="4" t="n">
        <x:f>IF(COUNTA(A5:D5)=0,"",COUNTIF($B$5:B5,B5))</x:f>
        <x:v>1</x:v>
      </x:c>
      <x:c r="H5" s="4" t="str">
        <x:f>IF(COUNTA(A5:D5)=0,"",IF(E5=0,"НЕДОПУСТИМО",IF(AND('Настройки'!$B$6=1,F5=1),"КОНФЛИКТ",IF(AND('Настройки'!$B$5=1,D5&lt;&gt;"confirmed"),"ОЖИДАНИЕ",IF(AND('Настройки'!$B$4=1,G5&gt;1),"ПОВТОР","УЧЕСТЬ")))))</x:f>
        <x:v>УЧЕСТЬ</x:v>
      </x:c>
      <x:c r="I5" s="28" t="n">
        <x:f>IF(H5="УЧЕСТЬ",C5,0)</x:f>
        <x:v>100</x:v>
      </x:c>
      <x:c r="J5" s="4"/>
    </x:row>
    <x:row r="6" ht="24" customHeight="1">
      <x:c r="A6" s="22" t="str">
        <x:v>M02</x:v>
      </x:c>
      <x:c r="B6" s="22" t="str">
        <x:v>OP-102</x:v>
      </x:c>
      <x:c r="C6" s="26" t="n">
        <x:v>200</x:v>
      </x:c>
      <x:c r="D6" s="22" t="str">
        <x:v>confirmed</x:v>
      </x:c>
      <x:c r="E6" s="4" t="n">
        <x:f>IF(COUNTA(A6:D6)=0,"",IF(AND(B6&lt;&gt;"",ISNUMBER(C6),C6&gt;0,OR(D6="confirmed",D6="pending")),1,0))</x:f>
        <x:v>1</x:v>
      </x:c>
      <x:c r="F6" s="4" t="n">
        <x:f>IF(COUNTA(A6:D6)=0,"",IF(COUNTIF($B$5:$B$34,B6)&lt;=1,0,IF(COUNTIF($B$5:$B$34,B6)&gt;COUNTIFS($B$5:$B$34,B6,$C$5:$C$34,C6,$D$5:$D$34,D6),1,0)))</x:f>
        <x:v>0</x:v>
      </x:c>
      <x:c r="G6" s="4" t="n">
        <x:f>IF(COUNTA(A6:D6)=0,"",COUNTIF($B$5:B6,B6))</x:f>
        <x:v>1</x:v>
      </x:c>
      <x:c r="H6" s="4" t="str">
        <x:f>IF(COUNTA(A6:D6)=0,"",IF(E6=0,"НЕДОПУСТИМО",IF(AND('Настройки'!$B$6=1,F6=1),"КОНФЛИКТ",IF(AND('Настройки'!$B$5=1,D6&lt;&gt;"confirmed"),"ОЖИДАНИЕ",IF(AND('Настройки'!$B$4=1,G6&gt;1),"ПОВТОР","УЧЕСТЬ")))))</x:f>
        <x:v>УЧЕСТЬ</x:v>
      </x:c>
      <x:c r="I6" s="28" t="n">
        <x:f>IF(H6="УЧЕСТЬ",C6,0)</x:f>
        <x:v>200</x:v>
      </x:c>
      <x:c r="J6" s="4"/>
    </x:row>
    <x:row r="7" ht="24" customHeight="1">
      <x:c r="A7" s="22" t="str">
        <x:v>M03</x:v>
      </x:c>
      <x:c r="B7" s="22" t="str">
        <x:v>OP-101</x:v>
      </x:c>
      <x:c r="C7" s="26" t="n">
        <x:v>100</x:v>
      </x:c>
      <x:c r="D7" s="22" t="str">
        <x:v>confirmed</x:v>
      </x:c>
      <x:c r="E7" s="4" t="n">
        <x:f>IF(COUNTA(A7:D7)=0,"",IF(AND(B7&lt;&gt;"",ISNUMBER(C7),C7&gt;0,OR(D7="confirmed",D7="pending")),1,0))</x:f>
        <x:v>1</x:v>
      </x:c>
      <x:c r="F7" s="4" t="n">
        <x:f>IF(COUNTA(A7:D7)=0,"",IF(COUNTIF($B$5:$B$34,B7)&lt;=1,0,IF(COUNTIF($B$5:$B$34,B7)&gt;COUNTIFS($B$5:$B$34,B7,$C$5:$C$34,C7,$D$5:$D$34,D7),1,0)))</x:f>
        <x:v>0</x:v>
      </x:c>
      <x:c r="G7" s="4" t="n">
        <x:f>IF(COUNTA(A7:D7)=0,"",COUNTIF($B$5:B7,B7))</x:f>
        <x:v>2</x:v>
      </x:c>
      <x:c r="H7" s="4" t="str">
        <x:f>IF(COUNTA(A7:D7)=0,"",IF(E7=0,"НЕДОПУСТИМО",IF(AND('Настройки'!$B$6=1,F7=1),"КОНФЛИКТ",IF(AND('Настройки'!$B$5=1,D7&lt;&gt;"confirmed"),"ОЖИДАНИЕ",IF(AND('Настройки'!$B$4=1,G7&gt;1),"ПОВТОР","УЧЕСТЬ")))))</x:f>
        <x:v>ПОВТОР</x:v>
      </x:c>
      <x:c r="I7" s="28" t="n">
        <x:f>IF(H7="УЧЕСТЬ",C7,0)</x:f>
        <x:v>0</x:v>
      </x:c>
      <x:c r="J7" s="4"/>
    </x:row>
    <x:row r="8" ht="24" customHeight="1">
      <x:c r="A8" s="22" t="str">
        <x:v>M04</x:v>
      </x:c>
      <x:c r="B8" s="22" t="str">
        <x:v>OP-103</x:v>
      </x:c>
      <x:c r="C8" s="26"/>
      <x:c r="D8" s="22" t="str">
        <x:v>confirmed</x:v>
      </x:c>
      <x:c r="E8" s="4" t="n">
        <x:f>IF(COUNTA(A8:D8)=0,"",IF(AND(B8&lt;&gt;"",ISNUMBER(C8),C8&gt;0,OR(D8="confirmed",D8="pending")),1,0))</x:f>
        <x:v>0</x:v>
      </x:c>
      <x:c r="F8" s="4" t="n">
        <x:f>IF(COUNTA(A8:D8)=0,"",IF(COUNTIF($B$5:$B$34,B8)&lt;=1,0,IF(COUNTIF($B$5:$B$34,B8)&gt;COUNTIFS($B$5:$B$34,B8,$C$5:$C$34,C8,$D$5:$D$34,D8),1,0)))</x:f>
        <x:v>0</x:v>
      </x:c>
      <x:c r="G8" s="4" t="n">
        <x:f>IF(COUNTA(A8:D8)=0,"",COUNTIF($B$5:B8,B8))</x:f>
        <x:v>1</x:v>
      </x:c>
      <x:c r="H8" s="4" t="str">
        <x:f>IF(COUNTA(A8:D8)=0,"",IF(E8=0,"НЕДОПУСТИМО",IF(AND('Настройки'!$B$6=1,F8=1),"КОНФЛИКТ",IF(AND('Настройки'!$B$5=1,D8&lt;&gt;"confirmed"),"ОЖИДАНИЕ",IF(AND('Настройки'!$B$4=1,G8&gt;1),"ПОВТОР","УЧЕСТЬ")))))</x:f>
        <x:v>НЕДОПУСТИМО</x:v>
      </x:c>
      <x:c r="I8" s="28" t="n">
        <x:f>IF(H8="УЧЕСТЬ",C8,0)</x:f>
        <x:v>0</x:v>
      </x:c>
      <x:c r="J8" s="4"/>
    </x:row>
    <x:row r="9" ht="24" customHeight="1">
      <x:c r="A9" s="22" t="str">
        <x:v>M05</x:v>
      </x:c>
      <x:c r="B9" s="22" t="str">
        <x:v>OP-104</x:v>
      </x:c>
      <x:c r="C9" s="26" t="n">
        <x:v>50</x:v>
      </x:c>
      <x:c r="D9" s="22" t="str">
        <x:v>pending</x:v>
      </x:c>
      <x:c r="E9" s="4" t="n">
        <x:f>IF(COUNTA(A9:D9)=0,"",IF(AND(B9&lt;&gt;"",ISNUMBER(C9),C9&gt;0,OR(D9="confirmed",D9="pending")),1,0))</x:f>
        <x:v>1</x:v>
      </x:c>
      <x:c r="F9" s="4" t="n">
        <x:f>IF(COUNTA(A9:D9)=0,"",IF(COUNTIF($B$5:$B$34,B9)&lt;=1,0,IF(COUNTIF($B$5:$B$34,B9)&gt;COUNTIFS($B$5:$B$34,B9,$C$5:$C$34,C9,$D$5:$D$34,D9),1,0)))</x:f>
        <x:v>0</x:v>
      </x:c>
      <x:c r="G9" s="4" t="n">
        <x:f>IF(COUNTA(A9:D9)=0,"",COUNTIF($B$5:B9,B9))</x:f>
        <x:v>1</x:v>
      </x:c>
      <x:c r="H9" s="4" t="str">
        <x:f>IF(COUNTA(A9:D9)=0,"",IF(E9=0,"НЕДОПУСТИМО",IF(AND('Настройки'!$B$6=1,F9=1),"КОНФЛИКТ",IF(AND('Настройки'!$B$5=1,D9&lt;&gt;"confirmed"),"ОЖИДАНИЕ",IF(AND('Настройки'!$B$4=1,G9&gt;1),"ПОВТОР","УЧЕСТЬ")))))</x:f>
        <x:v>ОЖИДАНИЕ</x:v>
      </x:c>
      <x:c r="I9" s="28" t="n">
        <x:f>IF(H9="УЧЕСТЬ",C9,0)</x:f>
        <x:v>0</x:v>
      </x:c>
      <x:c r="J9" s="4"/>
    </x:row>
    <x:row r="10" ht="24" customHeight="1">
      <x:c r="A10" s="22" t="str">
        <x:v>M06</x:v>
      </x:c>
      <x:c r="B10" s="22" t="str">
        <x:v>OP-105</x:v>
      </x:c>
      <x:c r="C10" s="26" t="n">
        <x:v>120</x:v>
      </x:c>
      <x:c r="D10" s="22" t="str">
        <x:v>confirmed</x:v>
      </x:c>
      <x:c r="E10" s="4" t="n">
        <x:f>IF(COUNTA(A10:D10)=0,"",IF(AND(B10&lt;&gt;"",ISNUMBER(C10),C10&gt;0,OR(D10="confirmed",D10="pending")),1,0))</x:f>
        <x:v>1</x:v>
      </x:c>
      <x:c r="F10" s="4" t="n">
        <x:f>IF(COUNTA(A10:D10)=0,"",IF(COUNTIF($B$5:$B$34,B10)&lt;=1,0,IF(COUNTIF($B$5:$B$34,B10)&gt;COUNTIFS($B$5:$B$34,B10,$C$5:$C$34,C10,$D$5:$D$34,D10),1,0)))</x:f>
        <x:v>1</x:v>
      </x:c>
      <x:c r="G10" s="4" t="n">
        <x:f>IF(COUNTA(A10:D10)=0,"",COUNTIF($B$5:B10,B10))</x:f>
        <x:v>1</x:v>
      </x:c>
      <x:c r="H10" s="4" t="str">
        <x:f>IF(COUNTA(A10:D10)=0,"",IF(E10=0,"НЕДОПУСТИМО",IF(AND('Настройки'!$B$6=1,F10=1),"КОНФЛИКТ",IF(AND('Настройки'!$B$5=1,D10&lt;&gt;"confirmed"),"ОЖИДАНИЕ",IF(AND('Настройки'!$B$4=1,G10&gt;1),"ПОВТОР","УЧЕСТЬ")))))</x:f>
        <x:v>КОНФЛИКТ</x:v>
      </x:c>
      <x:c r="I10" s="28" t="n">
        <x:f>IF(H10="УЧЕСТЬ",C10,0)</x:f>
        <x:v>0</x:v>
      </x:c>
      <x:c r="J10" s="4"/>
    </x:row>
    <x:row r="11" ht="24" customHeight="1">
      <x:c r="A11" s="22" t="str">
        <x:v>M07</x:v>
      </x:c>
      <x:c r="B11" s="22" t="str">
        <x:v>OP-105</x:v>
      </x:c>
      <x:c r="C11" s="26" t="n">
        <x:v>130</x:v>
      </x:c>
      <x:c r="D11" s="22" t="str">
        <x:v>confirmed</x:v>
      </x:c>
      <x:c r="E11" s="4" t="n">
        <x:f>IF(COUNTA(A11:D11)=0,"",IF(AND(B11&lt;&gt;"",ISNUMBER(C11),C11&gt;0,OR(D11="confirmed",D11="pending")),1,0))</x:f>
        <x:v>1</x:v>
      </x:c>
      <x:c r="F11" s="4" t="n">
        <x:f>IF(COUNTA(A11:D11)=0,"",IF(COUNTIF($B$5:$B$34,B11)&lt;=1,0,IF(COUNTIF($B$5:$B$34,B11)&gt;COUNTIFS($B$5:$B$34,B11,$C$5:$C$34,C11,$D$5:$D$34,D11),1,0)))</x:f>
        <x:v>1</x:v>
      </x:c>
      <x:c r="G11" s="4" t="n">
        <x:f>IF(COUNTA(A11:D11)=0,"",COUNTIF($B$5:B11,B11))</x:f>
        <x:v>2</x:v>
      </x:c>
      <x:c r="H11" s="4" t="str">
        <x:f>IF(COUNTA(A11:D11)=0,"",IF(E11=0,"НЕДОПУСТИМО",IF(AND('Настройки'!$B$6=1,F11=1),"КОНФЛИКТ",IF(AND('Настройки'!$B$5=1,D11&lt;&gt;"confirmed"),"ОЖИДАНИЕ",IF(AND('Настройки'!$B$4=1,G11&gt;1),"ПОВТОР","УЧЕСТЬ")))))</x:f>
        <x:v>КОНФЛИКТ</x:v>
      </x:c>
      <x:c r="I11" s="28" t="n">
        <x:f>IF(H11="УЧЕСТЬ",C11,0)</x:f>
        <x:v>0</x:v>
      </x:c>
      <x:c r="J11" s="4"/>
    </x:row>
    <x:row r="12" ht="24" customHeight="1">
      <x:c r="A12" s="22" t="str">
        <x:v>M08</x:v>
      </x:c>
      <x:c r="B12" s="22" t="str">
        <x:v>OP-106</x:v>
      </x:c>
      <x:c r="C12" s="26" t="n">
        <x:v>80</x:v>
      </x:c>
      <x:c r="D12" s="22" t="str">
        <x:v>confirmed</x:v>
      </x:c>
      <x:c r="E12" s="4" t="n">
        <x:f>IF(COUNTA(A12:D12)=0,"",IF(AND(B12&lt;&gt;"",ISNUMBER(C12),C12&gt;0,OR(D12="confirmed",D12="pending")),1,0))</x:f>
        <x:v>1</x:v>
      </x:c>
      <x:c r="F12" s="4" t="n">
        <x:f>IF(COUNTA(A12:D12)=0,"",IF(COUNTIF($B$5:$B$34,B12)&lt;=1,0,IF(COUNTIF($B$5:$B$34,B12)&gt;COUNTIFS($B$5:$B$34,B12,$C$5:$C$34,C12,$D$5:$D$34,D12),1,0)))</x:f>
        <x:v>0</x:v>
      </x:c>
      <x:c r="G12" s="4" t="n">
        <x:f>IF(COUNTA(A12:D12)=0,"",COUNTIF($B$5:B12,B12))</x:f>
        <x:v>1</x:v>
      </x:c>
      <x:c r="H12" s="4" t="str">
        <x:f>IF(COUNTA(A12:D12)=0,"",IF(E12=0,"НЕДОПУСТИМО",IF(AND('Настройки'!$B$6=1,F12=1),"КОНФЛИКТ",IF(AND('Настройки'!$B$5=1,D12&lt;&gt;"confirmed"),"ОЖИДАНИЕ",IF(AND('Настройки'!$B$4=1,G12&gt;1),"ПОВТОР","УЧЕСТЬ")))))</x:f>
        <x:v>УЧЕСТЬ</x:v>
      </x:c>
      <x:c r="I12" s="28" t="n">
        <x:f>IF(H12="УЧЕСТЬ",C12,0)</x:f>
        <x:v>80</x:v>
      </x:c>
      <x:c r="J12" s="4"/>
    </x:row>
    <x:row r="13" ht="24" customHeight="1">
      <x:c r="A13" s="22" t="str">
        <x:v>M09</x:v>
      </x:c>
      <x:c r="B13" s="22" t="str">
        <x:v>OP-107</x:v>
      </x:c>
      <x:c r="C13" s="26" t="n">
        <x:v>30</x:v>
      </x:c>
      <x:c r="D13" s="22" t="str">
        <x:v>confirmed</x:v>
      </x:c>
      <x:c r="E13" s="4" t="n">
        <x:f>IF(COUNTA(A13:D13)=0,"",IF(AND(B13&lt;&gt;"",ISNUMBER(C13),C13&gt;0,OR(D13="confirmed",D13="pending")),1,0))</x:f>
        <x:v>1</x:v>
      </x:c>
      <x:c r="F13" s="4" t="n">
        <x:f>IF(COUNTA(A13:D13)=0,"",IF(COUNTIF($B$5:$B$34,B13)&lt;=1,0,IF(COUNTIF($B$5:$B$34,B13)&gt;COUNTIFS($B$5:$B$34,B13,$C$5:$C$34,C13,$D$5:$D$34,D13),1,0)))</x:f>
        <x:v>0</x:v>
      </x:c>
      <x:c r="G13" s="4" t="n">
        <x:f>IF(COUNTA(A13:D13)=0,"",COUNTIF($B$5:B13,B13))</x:f>
        <x:v>1</x:v>
      </x:c>
      <x:c r="H13" s="4" t="str">
        <x:f>IF(COUNTA(A13:D13)=0,"",IF(E13=0,"НЕДОПУСТИМО",IF(AND('Настройки'!$B$6=1,F13=1),"КОНФЛИКТ",IF(AND('Настройки'!$B$5=1,D13&lt;&gt;"confirmed"),"ОЖИДАНИЕ",IF(AND('Настройки'!$B$4=1,G13&gt;1),"ПОВТОР","УЧЕСТЬ")))))</x:f>
        <x:v>УЧЕСТЬ</x:v>
      </x:c>
      <x:c r="I13" s="28" t="n">
        <x:f>IF(H13="УЧЕСТЬ",C13,0)</x:f>
        <x:v>30</x:v>
      </x:c>
      <x:c r="J13" s="4"/>
    </x:row>
    <x:row r="14" ht="24" customHeight="1">
      <x:c r="A14" s="22"/>
      <x:c r="B14" s="22"/>
      <x:c r="C14" s="26"/>
      <x:c r="D14" s="22"/>
      <x:c r="E14" s="4" t="str">
        <x:f>IF(COUNTA(A14:D14)=0,"",IF(AND(B14&lt;&gt;"",ISNUMBER(C14),C14&gt;0,OR(D14="confirmed",D14="pending")),1,0))</x:f>
      </x:c>
      <x:c r="F14" s="4" t="str">
        <x:f>IF(COUNTA(A14:D14)=0,"",IF(COUNTIF($B$5:$B$34,B14)&lt;=1,0,IF(COUNTIF($B$5:$B$34,B14)&gt;COUNTIFS($B$5:$B$34,B14,$C$5:$C$34,C14,$D$5:$D$34,D14),1,0)))</x:f>
      </x:c>
      <x:c r="G14" s="4" t="str">
        <x:f>IF(COUNTA(A14:D14)=0,"",COUNTIF($B$5:B14,B14))</x:f>
      </x:c>
      <x:c r="H14" s="4" t="str">
        <x:f>IF(COUNTA(A14:D14)=0,"",IF(E14=0,"НЕДОПУСТИМО",IF(AND('Настройки'!$B$6=1,F14=1),"КОНФЛИКТ",IF(AND('Настройки'!$B$5=1,D14&lt;&gt;"confirmed"),"ОЖИДАНИЕ",IF(AND('Настройки'!$B$4=1,G14&gt;1),"ПОВТОР","УЧЕСТЬ")))))</x:f>
      </x:c>
      <x:c r="I14" s="28" t="n">
        <x:f>IF(H14="УЧЕСТЬ",C14,0)</x:f>
        <x:v>0</x:v>
      </x:c>
      <x:c r="J14" s="4"/>
    </x:row>
    <x:row r="15" ht="24" customHeight="1">
      <x:c r="A15" s="22"/>
      <x:c r="B15" s="22"/>
      <x:c r="C15" s="26"/>
      <x:c r="D15" s="22"/>
      <x:c r="E15" s="4" t="str">
        <x:f>IF(COUNTA(A15:D15)=0,"",IF(AND(B15&lt;&gt;"",ISNUMBER(C15),C15&gt;0,OR(D15="confirmed",D15="pending")),1,0))</x:f>
      </x:c>
      <x:c r="F15" s="4" t="str">
        <x:f>IF(COUNTA(A15:D15)=0,"",IF(COUNTIF($B$5:$B$34,B15)&lt;=1,0,IF(COUNTIF($B$5:$B$34,B15)&gt;COUNTIFS($B$5:$B$34,B15,$C$5:$C$34,C15,$D$5:$D$34,D15),1,0)))</x:f>
      </x:c>
      <x:c r="G15" s="4" t="str">
        <x:f>IF(COUNTA(A15:D15)=0,"",COUNTIF($B$5:B15,B15))</x:f>
      </x:c>
      <x:c r="H15" s="4" t="str">
        <x:f>IF(COUNTA(A15:D15)=0,"",IF(E15=0,"НЕДОПУСТИМО",IF(AND('Настройки'!$B$6=1,F15=1),"КОНФЛИКТ",IF(AND('Настройки'!$B$5=1,D15&lt;&gt;"confirmed"),"ОЖИДАНИЕ",IF(AND('Настройки'!$B$4=1,G15&gt;1),"ПОВТОР","УЧЕСТЬ")))))</x:f>
      </x:c>
      <x:c r="I15" s="28" t="n">
        <x:f>IF(H15="УЧЕСТЬ",C15,0)</x:f>
        <x:v>0</x:v>
      </x:c>
      <x:c r="J15" s="4"/>
    </x:row>
    <x:row r="16" ht="24" customHeight="1">
      <x:c r="A16" s="22"/>
      <x:c r="B16" s="22"/>
      <x:c r="C16" s="26"/>
      <x:c r="D16" s="22"/>
      <x:c r="E16" s="4" t="str">
        <x:f>IF(COUNTA(A16:D16)=0,"",IF(AND(B16&lt;&gt;"",ISNUMBER(C16),C16&gt;0,OR(D16="confirmed",D16="pending")),1,0))</x:f>
      </x:c>
      <x:c r="F16" s="4" t="str">
        <x:f>IF(COUNTA(A16:D16)=0,"",IF(COUNTIF($B$5:$B$34,B16)&lt;=1,0,IF(COUNTIF($B$5:$B$34,B16)&gt;COUNTIFS($B$5:$B$34,B16,$C$5:$C$34,C16,$D$5:$D$34,D16),1,0)))</x:f>
      </x:c>
      <x:c r="G16" s="4" t="str">
        <x:f>IF(COUNTA(A16:D16)=0,"",COUNTIF($B$5:B16,B16))</x:f>
      </x:c>
      <x:c r="H16" s="4" t="str">
        <x:f>IF(COUNTA(A16:D16)=0,"",IF(E16=0,"НЕДОПУСТИМО",IF(AND('Настройки'!$B$6=1,F16=1),"КОНФЛИКТ",IF(AND('Настройки'!$B$5=1,D16&lt;&gt;"confirmed"),"ОЖИДАНИЕ",IF(AND('Настройки'!$B$4=1,G16&gt;1),"ПОВТОР","УЧЕСТЬ")))))</x:f>
      </x:c>
      <x:c r="I16" s="28" t="n">
        <x:f>IF(H16="УЧЕСТЬ",C16,0)</x:f>
        <x:v>0</x:v>
      </x:c>
      <x:c r="J16" s="4"/>
    </x:row>
    <x:row r="17" ht="24" customHeight="1">
      <x:c r="A17" s="22"/>
      <x:c r="B17" s="22"/>
      <x:c r="C17" s="26"/>
      <x:c r="D17" s="22"/>
      <x:c r="E17" s="4" t="str">
        <x:f>IF(COUNTA(A17:D17)=0,"",IF(AND(B17&lt;&gt;"",ISNUMBER(C17),C17&gt;0,OR(D17="confirmed",D17="pending")),1,0))</x:f>
      </x:c>
      <x:c r="F17" s="4" t="str">
        <x:f>IF(COUNTA(A17:D17)=0,"",IF(COUNTIF($B$5:$B$34,B17)&lt;=1,0,IF(COUNTIF($B$5:$B$34,B17)&gt;COUNTIFS($B$5:$B$34,B17,$C$5:$C$34,C17,$D$5:$D$34,D17),1,0)))</x:f>
      </x:c>
      <x:c r="G17" s="4" t="str">
        <x:f>IF(COUNTA(A17:D17)=0,"",COUNTIF($B$5:B17,B17))</x:f>
      </x:c>
      <x:c r="H17" s="4" t="str">
        <x:f>IF(COUNTA(A17:D17)=0,"",IF(E17=0,"НЕДОПУСТИМО",IF(AND('Настройки'!$B$6=1,F17=1),"КОНФЛИКТ",IF(AND('Настройки'!$B$5=1,D17&lt;&gt;"confirmed"),"ОЖИДАНИЕ",IF(AND('Настройки'!$B$4=1,G17&gt;1),"ПОВТОР","УЧЕСТЬ")))))</x:f>
      </x:c>
      <x:c r="I17" s="28" t="n">
        <x:f>IF(H17="УЧЕСТЬ",C17,0)</x:f>
        <x:v>0</x:v>
      </x:c>
      <x:c r="J17" s="4"/>
    </x:row>
    <x:row r="18" ht="24" customHeight="1">
      <x:c r="A18" s="22"/>
      <x:c r="B18" s="22"/>
      <x:c r="C18" s="26"/>
      <x:c r="D18" s="22"/>
      <x:c r="E18" s="4" t="str">
        <x:f>IF(COUNTA(A18:D18)=0,"",IF(AND(B18&lt;&gt;"",ISNUMBER(C18),C18&gt;0,OR(D18="confirmed",D18="pending")),1,0))</x:f>
      </x:c>
      <x:c r="F18" s="4" t="str">
        <x:f>IF(COUNTA(A18:D18)=0,"",IF(COUNTIF($B$5:$B$34,B18)&lt;=1,0,IF(COUNTIF($B$5:$B$34,B18)&gt;COUNTIFS($B$5:$B$34,B18,$C$5:$C$34,C18,$D$5:$D$34,D18),1,0)))</x:f>
      </x:c>
      <x:c r="G18" s="4" t="str">
        <x:f>IF(COUNTA(A18:D18)=0,"",COUNTIF($B$5:B18,B18))</x:f>
      </x:c>
      <x:c r="H18" s="4" t="str">
        <x:f>IF(COUNTA(A18:D18)=0,"",IF(E18=0,"НЕДОПУСТИМО",IF(AND('Настройки'!$B$6=1,F18=1),"КОНФЛИКТ",IF(AND('Настройки'!$B$5=1,D18&lt;&gt;"confirmed"),"ОЖИДАНИЕ",IF(AND('Настройки'!$B$4=1,G18&gt;1),"ПОВТОР","УЧЕСТЬ")))))</x:f>
      </x:c>
      <x:c r="I18" s="28" t="n">
        <x:f>IF(H18="УЧЕСТЬ",C18,0)</x:f>
        <x:v>0</x:v>
      </x:c>
      <x:c r="J18" s="4"/>
    </x:row>
    <x:row r="19" ht="24" customHeight="1">
      <x:c r="A19" s="22"/>
      <x:c r="B19" s="22"/>
      <x:c r="C19" s="26"/>
      <x:c r="D19" s="22"/>
      <x:c r="E19" s="4" t="str">
        <x:f>IF(COUNTA(A19:D19)=0,"",IF(AND(B19&lt;&gt;"",ISNUMBER(C19),C19&gt;0,OR(D19="confirmed",D19="pending")),1,0))</x:f>
      </x:c>
      <x:c r="F19" s="4" t="str">
        <x:f>IF(COUNTA(A19:D19)=0,"",IF(COUNTIF($B$5:$B$34,B19)&lt;=1,0,IF(COUNTIF($B$5:$B$34,B19)&gt;COUNTIFS($B$5:$B$34,B19,$C$5:$C$34,C19,$D$5:$D$34,D19),1,0)))</x:f>
      </x:c>
      <x:c r="G19" s="4" t="str">
        <x:f>IF(COUNTA(A19:D19)=0,"",COUNTIF($B$5:B19,B19))</x:f>
      </x:c>
      <x:c r="H19" s="4" t="str">
        <x:f>IF(COUNTA(A19:D19)=0,"",IF(E19=0,"НЕДОПУСТИМО",IF(AND('Настройки'!$B$6=1,F19=1),"КОНФЛИКТ",IF(AND('Настройки'!$B$5=1,D19&lt;&gt;"confirmed"),"ОЖИДАНИЕ",IF(AND('Настройки'!$B$4=1,G19&gt;1),"ПОВТОР","УЧЕСТЬ")))))</x:f>
      </x:c>
      <x:c r="I19" s="28" t="n">
        <x:f>IF(H19="УЧЕСТЬ",C19,0)</x:f>
        <x:v>0</x:v>
      </x:c>
      <x:c r="J19" s="4"/>
    </x:row>
    <x:row r="20" ht="24" customHeight="1">
      <x:c r="A20" s="22"/>
      <x:c r="B20" s="22"/>
      <x:c r="C20" s="26"/>
      <x:c r="D20" s="22"/>
      <x:c r="E20" s="4" t="str">
        <x:f>IF(COUNTA(A20:D20)=0,"",IF(AND(B20&lt;&gt;"",ISNUMBER(C20),C20&gt;0,OR(D20="confirmed",D20="pending")),1,0))</x:f>
      </x:c>
      <x:c r="F20" s="4" t="str">
        <x:f>IF(COUNTA(A20:D20)=0,"",IF(COUNTIF($B$5:$B$34,B20)&lt;=1,0,IF(COUNTIF($B$5:$B$34,B20)&gt;COUNTIFS($B$5:$B$34,B20,$C$5:$C$34,C20,$D$5:$D$34,D20),1,0)))</x:f>
      </x:c>
      <x:c r="G20" s="4" t="str">
        <x:f>IF(COUNTA(A20:D20)=0,"",COUNTIF($B$5:B20,B20))</x:f>
      </x:c>
      <x:c r="H20" s="4" t="str">
        <x:f>IF(COUNTA(A20:D20)=0,"",IF(E20=0,"НЕДОПУСТИМО",IF(AND('Настройки'!$B$6=1,F20=1),"КОНФЛИКТ",IF(AND('Настройки'!$B$5=1,D20&lt;&gt;"confirmed"),"ОЖИДАНИЕ",IF(AND('Настройки'!$B$4=1,G20&gt;1),"ПОВТОР","УЧЕСТЬ")))))</x:f>
      </x:c>
      <x:c r="I20" s="28" t="n">
        <x:f>IF(H20="УЧЕСТЬ",C20,0)</x:f>
        <x:v>0</x:v>
      </x:c>
      <x:c r="J20" s="4"/>
    </x:row>
    <x:row r="21" ht="24" customHeight="1">
      <x:c r="A21" s="22"/>
      <x:c r="B21" s="22"/>
      <x:c r="C21" s="26"/>
      <x:c r="D21" s="22"/>
      <x:c r="E21" s="4" t="str">
        <x:f>IF(COUNTA(A21:D21)=0,"",IF(AND(B21&lt;&gt;"",ISNUMBER(C21),C21&gt;0,OR(D21="confirmed",D21="pending")),1,0))</x:f>
      </x:c>
      <x:c r="F21" s="4" t="str">
        <x:f>IF(COUNTA(A21:D21)=0,"",IF(COUNTIF($B$5:$B$34,B21)&lt;=1,0,IF(COUNTIF($B$5:$B$34,B21)&gt;COUNTIFS($B$5:$B$34,B21,$C$5:$C$34,C21,$D$5:$D$34,D21),1,0)))</x:f>
      </x:c>
      <x:c r="G21" s="4" t="str">
        <x:f>IF(COUNTA(A21:D21)=0,"",COUNTIF($B$5:B21,B21))</x:f>
      </x:c>
      <x:c r="H21" s="4" t="str">
        <x:f>IF(COUNTA(A21:D21)=0,"",IF(E21=0,"НЕДОПУСТИМО",IF(AND('Настройки'!$B$6=1,F21=1),"КОНФЛИКТ",IF(AND('Настройки'!$B$5=1,D21&lt;&gt;"confirmed"),"ОЖИДАНИЕ",IF(AND('Настройки'!$B$4=1,G21&gt;1),"ПОВТОР","УЧЕСТЬ")))))</x:f>
      </x:c>
      <x:c r="I21" s="28" t="n">
        <x:f>IF(H21="УЧЕСТЬ",C21,0)</x:f>
        <x:v>0</x:v>
      </x:c>
      <x:c r="J21" s="4"/>
    </x:row>
    <x:row r="22" ht="24" customHeight="1">
      <x:c r="A22" s="22"/>
      <x:c r="B22" s="22"/>
      <x:c r="C22" s="26"/>
      <x:c r="D22" s="22"/>
      <x:c r="E22" s="4" t="str">
        <x:f>IF(COUNTA(A22:D22)=0,"",IF(AND(B22&lt;&gt;"",ISNUMBER(C22),C22&gt;0,OR(D22="confirmed",D22="pending")),1,0))</x:f>
      </x:c>
      <x:c r="F22" s="4" t="str">
        <x:f>IF(COUNTA(A22:D22)=0,"",IF(COUNTIF($B$5:$B$34,B22)&lt;=1,0,IF(COUNTIF($B$5:$B$34,B22)&gt;COUNTIFS($B$5:$B$34,B22,$C$5:$C$34,C22,$D$5:$D$34,D22),1,0)))</x:f>
      </x:c>
      <x:c r="G22" s="4" t="str">
        <x:f>IF(COUNTA(A22:D22)=0,"",COUNTIF($B$5:B22,B22))</x:f>
      </x:c>
      <x:c r="H22" s="4" t="str">
        <x:f>IF(COUNTA(A22:D22)=0,"",IF(E22=0,"НЕДОПУСТИМО",IF(AND('Настройки'!$B$6=1,F22=1),"КОНФЛИКТ",IF(AND('Настройки'!$B$5=1,D22&lt;&gt;"confirmed"),"ОЖИДАНИЕ",IF(AND('Настройки'!$B$4=1,G22&gt;1),"ПОВТОР","УЧЕСТЬ")))))</x:f>
      </x:c>
      <x:c r="I22" s="28" t="n">
        <x:f>IF(H22="УЧЕСТЬ",C22,0)</x:f>
        <x:v>0</x:v>
      </x:c>
      <x:c r="J22" s="4"/>
    </x:row>
    <x:row r="23" ht="24" customHeight="1">
      <x:c r="A23" s="22"/>
      <x:c r="B23" s="22"/>
      <x:c r="C23" s="26"/>
      <x:c r="D23" s="22"/>
      <x:c r="E23" s="4" t="str">
        <x:f>IF(COUNTA(A23:D23)=0,"",IF(AND(B23&lt;&gt;"",ISNUMBER(C23),C23&gt;0,OR(D23="confirmed",D23="pending")),1,0))</x:f>
      </x:c>
      <x:c r="F23" s="4" t="str">
        <x:f>IF(COUNTA(A23:D23)=0,"",IF(COUNTIF($B$5:$B$34,B23)&lt;=1,0,IF(COUNTIF($B$5:$B$34,B23)&gt;COUNTIFS($B$5:$B$34,B23,$C$5:$C$34,C23,$D$5:$D$34,D23),1,0)))</x:f>
      </x:c>
      <x:c r="G23" s="4" t="str">
        <x:f>IF(COUNTA(A23:D23)=0,"",COUNTIF($B$5:B23,B23))</x:f>
      </x:c>
      <x:c r="H23" s="4" t="str">
        <x:f>IF(COUNTA(A23:D23)=0,"",IF(E23=0,"НЕДОПУСТИМО",IF(AND('Настройки'!$B$6=1,F23=1),"КОНФЛИКТ",IF(AND('Настройки'!$B$5=1,D23&lt;&gt;"confirmed"),"ОЖИДАНИЕ",IF(AND('Настройки'!$B$4=1,G23&gt;1),"ПОВТОР","УЧЕСТЬ")))))</x:f>
      </x:c>
      <x:c r="I23" s="28" t="n">
        <x:f>IF(H23="УЧЕСТЬ",C23,0)</x:f>
        <x:v>0</x:v>
      </x:c>
      <x:c r="J23" s="4"/>
    </x:row>
    <x:row r="24" ht="24" customHeight="1">
      <x:c r="A24" s="22"/>
      <x:c r="B24" s="22"/>
      <x:c r="C24" s="26"/>
      <x:c r="D24" s="22"/>
      <x:c r="E24" s="4" t="str">
        <x:f>IF(COUNTA(A24:D24)=0,"",IF(AND(B24&lt;&gt;"",ISNUMBER(C24),C24&gt;0,OR(D24="confirmed",D24="pending")),1,0))</x:f>
      </x:c>
      <x:c r="F24" s="4" t="str">
        <x:f>IF(COUNTA(A24:D24)=0,"",IF(COUNTIF($B$5:$B$34,B24)&lt;=1,0,IF(COUNTIF($B$5:$B$34,B24)&gt;COUNTIFS($B$5:$B$34,B24,$C$5:$C$34,C24,$D$5:$D$34,D24),1,0)))</x:f>
      </x:c>
      <x:c r="G24" s="4" t="str">
        <x:f>IF(COUNTA(A24:D24)=0,"",COUNTIF($B$5:B24,B24))</x:f>
      </x:c>
      <x:c r="H24" s="4" t="str">
        <x:f>IF(COUNTA(A24:D24)=0,"",IF(E24=0,"НЕДОПУСТИМО",IF(AND('Настройки'!$B$6=1,F24=1),"КОНФЛИКТ",IF(AND('Настройки'!$B$5=1,D24&lt;&gt;"confirmed"),"ОЖИДАНИЕ",IF(AND('Настройки'!$B$4=1,G24&gt;1),"ПОВТОР","УЧЕСТЬ")))))</x:f>
      </x:c>
      <x:c r="I24" s="28" t="n">
        <x:f>IF(H24="УЧЕСТЬ",C24,0)</x:f>
        <x:v>0</x:v>
      </x:c>
      <x:c r="J24" s="4"/>
    </x:row>
    <x:row r="25" ht="24" customHeight="1">
      <x:c r="A25" s="22"/>
      <x:c r="B25" s="22"/>
      <x:c r="C25" s="26"/>
      <x:c r="D25" s="22"/>
      <x:c r="E25" s="4" t="str">
        <x:f>IF(COUNTA(A25:D25)=0,"",IF(AND(B25&lt;&gt;"",ISNUMBER(C25),C25&gt;0,OR(D25="confirmed",D25="pending")),1,0))</x:f>
      </x:c>
      <x:c r="F25" s="4" t="str">
        <x:f>IF(COUNTA(A25:D25)=0,"",IF(COUNTIF($B$5:$B$34,B25)&lt;=1,0,IF(COUNTIF($B$5:$B$34,B25)&gt;COUNTIFS($B$5:$B$34,B25,$C$5:$C$34,C25,$D$5:$D$34,D25),1,0)))</x:f>
      </x:c>
      <x:c r="G25" s="4" t="str">
        <x:f>IF(COUNTA(A25:D25)=0,"",COUNTIF($B$5:B25,B25))</x:f>
      </x:c>
      <x:c r="H25" s="4" t="str">
        <x:f>IF(COUNTA(A25:D25)=0,"",IF(E25=0,"НЕДОПУСТИМО",IF(AND('Настройки'!$B$6=1,F25=1),"КОНФЛИКТ",IF(AND('Настройки'!$B$5=1,D25&lt;&gt;"confirmed"),"ОЖИДАНИЕ",IF(AND('Настройки'!$B$4=1,G25&gt;1),"ПОВТОР","УЧЕСТЬ")))))</x:f>
      </x:c>
      <x:c r="I25" s="28" t="n">
        <x:f>IF(H25="УЧЕСТЬ",C25,0)</x:f>
        <x:v>0</x:v>
      </x:c>
      <x:c r="J25" s="4"/>
    </x:row>
    <x:row r="26" ht="24" customHeight="1">
      <x:c r="A26" s="22"/>
      <x:c r="B26" s="22"/>
      <x:c r="C26" s="26"/>
      <x:c r="D26" s="22"/>
      <x:c r="E26" s="4" t="str">
        <x:f>IF(COUNTA(A26:D26)=0,"",IF(AND(B26&lt;&gt;"",ISNUMBER(C26),C26&gt;0,OR(D26="confirmed",D26="pending")),1,0))</x:f>
      </x:c>
      <x:c r="F26" s="4" t="str">
        <x:f>IF(COUNTA(A26:D26)=0,"",IF(COUNTIF($B$5:$B$34,B26)&lt;=1,0,IF(COUNTIF($B$5:$B$34,B26)&gt;COUNTIFS($B$5:$B$34,B26,$C$5:$C$34,C26,$D$5:$D$34,D26),1,0)))</x:f>
      </x:c>
      <x:c r="G26" s="4" t="str">
        <x:f>IF(COUNTA(A26:D26)=0,"",COUNTIF($B$5:B26,B26))</x:f>
      </x:c>
      <x:c r="H26" s="4" t="str">
        <x:f>IF(COUNTA(A26:D26)=0,"",IF(E26=0,"НЕДОПУСТИМО",IF(AND('Настройки'!$B$6=1,F26=1),"КОНФЛИКТ",IF(AND('Настройки'!$B$5=1,D26&lt;&gt;"confirmed"),"ОЖИДАНИЕ",IF(AND('Настройки'!$B$4=1,G26&gt;1),"ПОВТОР","УЧЕСТЬ")))))</x:f>
      </x:c>
      <x:c r="I26" s="28" t="n">
        <x:f>IF(H26="УЧЕСТЬ",C26,0)</x:f>
        <x:v>0</x:v>
      </x:c>
      <x:c r="J26" s="4"/>
    </x:row>
    <x:row r="27" ht="24" customHeight="1">
      <x:c r="A27" s="22"/>
      <x:c r="B27" s="22"/>
      <x:c r="C27" s="26"/>
      <x:c r="D27" s="22"/>
      <x:c r="E27" s="4" t="str">
        <x:f>IF(COUNTA(A27:D27)=0,"",IF(AND(B27&lt;&gt;"",ISNUMBER(C27),C27&gt;0,OR(D27="confirmed",D27="pending")),1,0))</x:f>
      </x:c>
      <x:c r="F27" s="4" t="str">
        <x:f>IF(COUNTA(A27:D27)=0,"",IF(COUNTIF($B$5:$B$34,B27)&lt;=1,0,IF(COUNTIF($B$5:$B$34,B27)&gt;COUNTIFS($B$5:$B$34,B27,$C$5:$C$34,C27,$D$5:$D$34,D27),1,0)))</x:f>
      </x:c>
      <x:c r="G27" s="4" t="str">
        <x:f>IF(COUNTA(A27:D27)=0,"",COUNTIF($B$5:B27,B27))</x:f>
      </x:c>
      <x:c r="H27" s="4" t="str">
        <x:f>IF(COUNTA(A27:D27)=0,"",IF(E27=0,"НЕДОПУСТИМО",IF(AND('Настройки'!$B$6=1,F27=1),"КОНФЛИКТ",IF(AND('Настройки'!$B$5=1,D27&lt;&gt;"confirmed"),"ОЖИДАНИЕ",IF(AND('Настройки'!$B$4=1,G27&gt;1),"ПОВТОР","УЧЕСТЬ")))))</x:f>
      </x:c>
      <x:c r="I27" s="28" t="n">
        <x:f>IF(H27="УЧЕСТЬ",C27,0)</x:f>
        <x:v>0</x:v>
      </x:c>
      <x:c r="J27" s="4"/>
    </x:row>
    <x:row r="28" ht="24" customHeight="1">
      <x:c r="A28" s="22"/>
      <x:c r="B28" s="22"/>
      <x:c r="C28" s="26"/>
      <x:c r="D28" s="22"/>
      <x:c r="E28" s="4" t="str">
        <x:f>IF(COUNTA(A28:D28)=0,"",IF(AND(B28&lt;&gt;"",ISNUMBER(C28),C28&gt;0,OR(D28="confirmed",D28="pending")),1,0))</x:f>
      </x:c>
      <x:c r="F28" s="4" t="str">
        <x:f>IF(COUNTA(A28:D28)=0,"",IF(COUNTIF($B$5:$B$34,B28)&lt;=1,0,IF(COUNTIF($B$5:$B$34,B28)&gt;COUNTIFS($B$5:$B$34,B28,$C$5:$C$34,C28,$D$5:$D$34,D28),1,0)))</x:f>
      </x:c>
      <x:c r="G28" s="4" t="str">
        <x:f>IF(COUNTA(A28:D28)=0,"",COUNTIF($B$5:B28,B28))</x:f>
      </x:c>
      <x:c r="H28" s="4" t="str">
        <x:f>IF(COUNTA(A28:D28)=0,"",IF(E28=0,"НЕДОПУСТИМО",IF(AND('Настройки'!$B$6=1,F28=1),"КОНФЛИКТ",IF(AND('Настройки'!$B$5=1,D28&lt;&gt;"confirmed"),"ОЖИДАНИЕ",IF(AND('Настройки'!$B$4=1,G28&gt;1),"ПОВТОР","УЧЕСТЬ")))))</x:f>
      </x:c>
      <x:c r="I28" s="28" t="n">
        <x:f>IF(H28="УЧЕСТЬ",C28,0)</x:f>
        <x:v>0</x:v>
      </x:c>
      <x:c r="J28" s="4"/>
    </x:row>
    <x:row r="29" ht="24" customHeight="1">
      <x:c r="A29" s="22"/>
      <x:c r="B29" s="22"/>
      <x:c r="C29" s="26"/>
      <x:c r="D29" s="22"/>
      <x:c r="E29" s="4" t="str">
        <x:f>IF(COUNTA(A29:D29)=0,"",IF(AND(B29&lt;&gt;"",ISNUMBER(C29),C29&gt;0,OR(D29="confirmed",D29="pending")),1,0))</x:f>
      </x:c>
      <x:c r="F29" s="4" t="str">
        <x:f>IF(COUNTA(A29:D29)=0,"",IF(COUNTIF($B$5:$B$34,B29)&lt;=1,0,IF(COUNTIF($B$5:$B$34,B29)&gt;COUNTIFS($B$5:$B$34,B29,$C$5:$C$34,C29,$D$5:$D$34,D29),1,0)))</x:f>
      </x:c>
      <x:c r="G29" s="4" t="str">
        <x:f>IF(COUNTA(A29:D29)=0,"",COUNTIF($B$5:B29,B29))</x:f>
      </x:c>
      <x:c r="H29" s="4" t="str">
        <x:f>IF(COUNTA(A29:D29)=0,"",IF(E29=0,"НЕДОПУСТИМО",IF(AND('Настройки'!$B$6=1,F29=1),"КОНФЛИКТ",IF(AND('Настройки'!$B$5=1,D29&lt;&gt;"confirmed"),"ОЖИДАНИЕ",IF(AND('Настройки'!$B$4=1,G29&gt;1),"ПОВТОР","УЧЕСТЬ")))))</x:f>
      </x:c>
      <x:c r="I29" s="28" t="n">
        <x:f>IF(H29="УЧЕСТЬ",C29,0)</x:f>
        <x:v>0</x:v>
      </x:c>
      <x:c r="J29" s="4"/>
    </x:row>
    <x:row r="30" ht="24" customHeight="1">
      <x:c r="A30" s="22"/>
      <x:c r="B30" s="22"/>
      <x:c r="C30" s="26"/>
      <x:c r="D30" s="22"/>
      <x:c r="E30" s="4" t="str">
        <x:f>IF(COUNTA(A30:D30)=0,"",IF(AND(B30&lt;&gt;"",ISNUMBER(C30),C30&gt;0,OR(D30="confirmed",D30="pending")),1,0))</x:f>
      </x:c>
      <x:c r="F30" s="4" t="str">
        <x:f>IF(COUNTA(A30:D30)=0,"",IF(COUNTIF($B$5:$B$34,B30)&lt;=1,0,IF(COUNTIF($B$5:$B$34,B30)&gt;COUNTIFS($B$5:$B$34,B30,$C$5:$C$34,C30,$D$5:$D$34,D30),1,0)))</x:f>
      </x:c>
      <x:c r="G30" s="4" t="str">
        <x:f>IF(COUNTA(A30:D30)=0,"",COUNTIF($B$5:B30,B30))</x:f>
      </x:c>
      <x:c r="H30" s="4" t="str">
        <x:f>IF(COUNTA(A30:D30)=0,"",IF(E30=0,"НЕДОПУСТИМО",IF(AND('Настройки'!$B$6=1,F30=1),"КОНФЛИКТ",IF(AND('Настройки'!$B$5=1,D30&lt;&gt;"confirmed"),"ОЖИДАНИЕ",IF(AND('Настройки'!$B$4=1,G30&gt;1),"ПОВТОР","УЧЕСТЬ")))))</x:f>
      </x:c>
      <x:c r="I30" s="28" t="n">
        <x:f>IF(H30="УЧЕСТЬ",C30,0)</x:f>
        <x:v>0</x:v>
      </x:c>
      <x:c r="J30" s="4"/>
    </x:row>
    <x:row r="31" ht="24" customHeight="1">
      <x:c r="A31" s="22"/>
      <x:c r="B31" s="22"/>
      <x:c r="C31" s="26"/>
      <x:c r="D31" s="22"/>
      <x:c r="E31" s="4" t="str">
        <x:f>IF(COUNTA(A31:D31)=0,"",IF(AND(B31&lt;&gt;"",ISNUMBER(C31),C31&gt;0,OR(D31="confirmed",D31="pending")),1,0))</x:f>
      </x:c>
      <x:c r="F31" s="4" t="str">
        <x:f>IF(COUNTA(A31:D31)=0,"",IF(COUNTIF($B$5:$B$34,B31)&lt;=1,0,IF(COUNTIF($B$5:$B$34,B31)&gt;COUNTIFS($B$5:$B$34,B31,$C$5:$C$34,C31,$D$5:$D$34,D31),1,0)))</x:f>
      </x:c>
      <x:c r="G31" s="4" t="str">
        <x:f>IF(COUNTA(A31:D31)=0,"",COUNTIF($B$5:B31,B31))</x:f>
      </x:c>
      <x:c r="H31" s="4" t="str">
        <x:f>IF(COUNTA(A31:D31)=0,"",IF(E31=0,"НЕДОПУСТИМО",IF(AND('Настройки'!$B$6=1,F31=1),"КОНФЛИКТ",IF(AND('Настройки'!$B$5=1,D31&lt;&gt;"confirmed"),"ОЖИДАНИЕ",IF(AND('Настройки'!$B$4=1,G31&gt;1),"ПОВТОР","УЧЕСТЬ")))))</x:f>
      </x:c>
      <x:c r="I31" s="28" t="n">
        <x:f>IF(H31="УЧЕСТЬ",C31,0)</x:f>
        <x:v>0</x:v>
      </x:c>
      <x:c r="J31" s="4"/>
    </x:row>
    <x:row r="32" ht="24" customHeight="1">
      <x:c r="A32" s="22"/>
      <x:c r="B32" s="22"/>
      <x:c r="C32" s="26"/>
      <x:c r="D32" s="22"/>
      <x:c r="E32" s="4" t="str">
        <x:f>IF(COUNTA(A32:D32)=0,"",IF(AND(B32&lt;&gt;"",ISNUMBER(C32),C32&gt;0,OR(D32="confirmed",D32="pending")),1,0))</x:f>
      </x:c>
      <x:c r="F32" s="4" t="str">
        <x:f>IF(COUNTA(A32:D32)=0,"",IF(COUNTIF($B$5:$B$34,B32)&lt;=1,0,IF(COUNTIF($B$5:$B$34,B32)&gt;COUNTIFS($B$5:$B$34,B32,$C$5:$C$34,C32,$D$5:$D$34,D32),1,0)))</x:f>
      </x:c>
      <x:c r="G32" s="4" t="str">
        <x:f>IF(COUNTA(A32:D32)=0,"",COUNTIF($B$5:B32,B32))</x:f>
      </x:c>
      <x:c r="H32" s="4" t="str">
        <x:f>IF(COUNTA(A32:D32)=0,"",IF(E32=0,"НЕДОПУСТИМО",IF(AND('Настройки'!$B$6=1,F32=1),"КОНФЛИКТ",IF(AND('Настройки'!$B$5=1,D32&lt;&gt;"confirmed"),"ОЖИДАНИЕ",IF(AND('Настройки'!$B$4=1,G32&gt;1),"ПОВТОР","УЧЕСТЬ")))))</x:f>
      </x:c>
      <x:c r="I32" s="28" t="n">
        <x:f>IF(H32="УЧЕСТЬ",C32,0)</x:f>
        <x:v>0</x:v>
      </x:c>
      <x:c r="J32" s="4"/>
    </x:row>
    <x:row r="33" ht="24" customHeight="1">
      <x:c r="A33" s="22"/>
      <x:c r="B33" s="22"/>
      <x:c r="C33" s="26"/>
      <x:c r="D33" s="22"/>
      <x:c r="E33" s="4" t="str">
        <x:f>IF(COUNTA(A33:D33)=0,"",IF(AND(B33&lt;&gt;"",ISNUMBER(C33),C33&gt;0,OR(D33="confirmed",D33="pending")),1,0))</x:f>
      </x:c>
      <x:c r="F33" s="4" t="str">
        <x:f>IF(COUNTA(A33:D33)=0,"",IF(COUNTIF($B$5:$B$34,B33)&lt;=1,0,IF(COUNTIF($B$5:$B$34,B33)&gt;COUNTIFS($B$5:$B$34,B33,$C$5:$C$34,C33,$D$5:$D$34,D33),1,0)))</x:f>
      </x:c>
      <x:c r="G33" s="4" t="str">
        <x:f>IF(COUNTA(A33:D33)=0,"",COUNTIF($B$5:B33,B33))</x:f>
      </x:c>
      <x:c r="H33" s="4" t="str">
        <x:f>IF(COUNTA(A33:D33)=0,"",IF(E33=0,"НЕДОПУСТИМО",IF(AND('Настройки'!$B$6=1,F33=1),"КОНФЛИКТ",IF(AND('Настройки'!$B$5=1,D33&lt;&gt;"confirmed"),"ОЖИДАНИЕ",IF(AND('Настройки'!$B$4=1,G33&gt;1),"ПОВТОР","УЧЕСТЬ")))))</x:f>
      </x:c>
      <x:c r="I33" s="28" t="n">
        <x:f>IF(H33="УЧЕСТЬ",C33,0)</x:f>
        <x:v>0</x:v>
      </x:c>
      <x:c r="J33" s="4"/>
    </x:row>
    <x:row r="34" ht="24" customHeight="1">
      <x:c r="A34" s="22"/>
      <x:c r="B34" s="22"/>
      <x:c r="C34" s="26"/>
      <x:c r="D34" s="22"/>
      <x:c r="E34" s="4" t="str">
        <x:f>IF(COUNTA(A34:D34)=0,"",IF(AND(B34&lt;&gt;"",ISNUMBER(C34),C34&gt;0,OR(D34="confirmed",D34="pending")),1,0))</x:f>
      </x:c>
      <x:c r="F34" s="4" t="str">
        <x:f>IF(COUNTA(A34:D34)=0,"",IF(COUNTIF($B$5:$B$34,B34)&lt;=1,0,IF(COUNTIF($B$5:$B$34,B34)&gt;COUNTIFS($B$5:$B$34,B34,$C$5:$C$34,C34,$D$5:$D$34,D34),1,0)))</x:f>
      </x:c>
      <x:c r="G34" s="4" t="str">
        <x:f>IF(COUNTA(A34:D34)=0,"",COUNTIF($B$5:B34,B34))</x:f>
      </x:c>
      <x:c r="H34" s="4" t="str">
        <x:f>IF(COUNTA(A34:D34)=0,"",IF(E34=0,"НЕДОПУСТИМО",IF(AND('Настройки'!$B$6=1,F34=1),"КОНФЛИКТ",IF(AND('Настройки'!$B$5=1,D34&lt;&gt;"confirmed"),"ОЖИДАНИЕ",IF(AND('Настройки'!$B$4=1,G34&gt;1),"ПОВТОР","УЧЕСТЬ")))))</x:f>
      </x:c>
      <x:c r="I34" s="28" t="n">
        <x:f>IF(H34="УЧЕСТЬ",C34,0)</x:f>
        <x:v>0</x:v>
      </x:c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I1"/>
    <x:mergeCell ref="A2:I2"/>
  </x:mergeCells>
  <x:conditionalFormatting sqref="H5:H34">
    <x:cfRule type="expression" dxfId="0" priority="1">
      <x:formula>$H5="УЧЕСТЬ"</x:formula>
    </x:cfRule>
    <x:cfRule type="expression" dxfId="1" priority="2">
      <x:formula>$H5="КОНФЛИКТ"</x:formula>
    </x:cfRule>
    <x:cfRule type="expression" dxfId="2" priority="3">
      <x:formula>$H5="ПОВТОР"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Агентная проверка Codex, d=3, 16.10.2026</x:v>
      </x:c>
      <x:c r="B1" s="9"/>
      <x:c r="C1" s="9"/>
      <x:c r="D1" s="9"/>
      <x:c r="E1" s="9"/>
      <x:c r="F1" s="9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18" t="str">
        <x:v>Тест</x:v>
      </x:c>
      <x:c r="B4" s="18" t="str">
        <x:v>Вход</x:v>
      </x:c>
      <x:c r="C4" s="18" t="str">
        <x:v>Ожидание</x:v>
      </x:c>
      <x:c r="D4" s="18" t="str">
        <x:v>Факт</x:v>
      </x:c>
      <x:c r="E4" s="18" t="str">
        <x:v>Настройки</x:v>
      </x:c>
      <x:c r="F4" s="18" t="str">
        <x:v>Вывод / предел</x:v>
      </x:c>
      <x:c r="G4" s="4"/>
      <x:c r="H4" s="4"/>
      <x:c r="I4" s="4"/>
      <x:c r="J4" s="4"/>
    </x:row>
    <x:row r="5" ht="55" customHeight="1">
      <x:c r="A5" s="4" t="str">
        <x:v>T1</x:v>
      </x:c>
      <x:c r="B5" s="4" t="str">
        <x:v>Одна корректная M01</x:v>
      </x:c>
      <x:c r="C5" s="4" t="str">
        <x:v>100 кг</x:v>
      </x:c>
      <x:c r="D5" s="22" t="str">
        <x:v>100 кг; учтено 1</x:v>
      </x:c>
      <x:c r="E5" s="22" t="str">
        <x:v>1/1/1</x:v>
      </x:c>
      <x:c r="F5" s="22" t="str">
        <x:v>Соответствует ожиданию; агентный запуск</x:v>
      </x:c>
      <x:c r="G5" s="4"/>
      <x:c r="H5" s="4"/>
      <x:c r="I5" s="4"/>
      <x:c r="J5" s="4"/>
    </x:row>
    <x:row r="6" ht="55" customHeight="1">
      <x:c r="A6" s="4" t="str">
        <x:v>T2</x:v>
      </x:c>
      <x:c r="B6" s="4" t="str">
        <x:v>M01 и точный повтор M03</x:v>
      </x:c>
      <x:c r="C6" s="4" t="str">
        <x:v>100 кг</x:v>
      </x:c>
      <x:c r="D6" s="22" t="str">
        <x:v>100 кг; учтено 1</x:v>
      </x:c>
      <x:c r="E6" s="22" t="str">
        <x:v>1/1/1</x:v>
      </x:c>
      <x:c r="F6" s="22" t="str">
        <x:v>Соответствует ожиданию; агентный запуск</x:v>
      </x:c>
      <x:c r="G6" s="4"/>
      <x:c r="H6" s="4"/>
      <x:c r="I6" s="4"/>
      <x:c r="J6" s="4"/>
    </x:row>
    <x:row r="7" ht="55" customHeight="1">
      <x:c r="A7" s="4" t="str">
        <x:v>T3</x:v>
      </x:c>
      <x:c r="B7" s="4" t="str">
        <x:v>M04 с пустым количеством</x:v>
      </x:c>
      <x:c r="C7" s="4" t="str">
        <x:v>0 кг</x:v>
      </x:c>
      <x:c r="D7" s="22" t="str">
        <x:v>0 кг; учтено 0</x:v>
      </x:c>
      <x:c r="E7" s="22" t="str">
        <x:v>1/1/1</x:v>
      </x:c>
      <x:c r="F7" s="22" t="str">
        <x:v>Соответствует ожиданию; агентный запуск</x:v>
      </x:c>
      <x:c r="G7" s="4"/>
      <x:c r="H7" s="4"/>
      <x:c r="I7" s="4"/>
      <x:c r="J7" s="4"/>
    </x:row>
    <x:row r="8" ht="55" customHeight="1">
      <x:c r="A8" s="4" t="str">
        <x:v>T4</x:v>
      </x:c>
      <x:c r="B8" s="4" t="str">
        <x:v>M06/M07 с конфликтом</x:v>
      </x:c>
      <x:c r="C8" s="4" t="str">
        <x:v>0 кг</x:v>
      </x:c>
      <x:c r="D8" s="22" t="str">
        <x:v>0 кг; учтено 0</x:v>
      </x:c>
      <x:c r="E8" s="22" t="str">
        <x:v>1/1/1</x:v>
      </x:c>
      <x:c r="F8" s="22" t="str">
        <x:v>Соответствует ожиданию; агентный запуск</x:v>
      </x:c>
      <x:c r="G8" s="4"/>
      <x:c r="H8" s="4"/>
      <x:c r="I8" s="4"/>
      <x:c r="J8" s="4"/>
    </x:row>
    <x:row r="9" ht="55" customHeight="1">
      <x:c r="A9" s="4" t="str">
        <x:v>T5</x:v>
      </x:c>
      <x:c r="B9" s="4" t="str">
        <x:v>Все девять строк</x:v>
      </x:c>
      <x:c r="C9" s="4" t="str">
        <x:v>410 кг</x:v>
      </x:c>
      <x:c r="D9" s="22" t="str">
        <x:v>410 кг; учтено 4</x:v>
      </x:c>
      <x:c r="E9" s="22" t="str">
        <x:v>1/1/1</x:v>
      </x:c>
      <x:c r="F9" s="22" t="str">
        <x:v>Соответствует ожиданию; агентный запуск</x:v>
      </x:c>
      <x:c r="G9" s="4"/>
      <x:c r="H9" s="4"/>
      <x:c r="I9" s="4"/>
      <x:c r="J9" s="4"/>
    </x:row>
    <x:row r="10" ht="55" customHeight="1">
      <x:c r="A10" s="4" t="str">
        <x:v>T6</x:v>
      </x:c>
      <x:c r="B10" s="4" t="str">
        <x:v>d=3; q=130; 130/130</x:v>
      </x:c>
      <x:c r="C10" s="4" t="str">
        <x:v>130 кг, 1 учтена, 1 повтор</x:v>
      </x:c>
      <x:c r="D10" s="22" t="str">
        <x:v>130 кг; учтено 1</x:v>
      </x:c>
      <x:c r="E10" s="22" t="str">
        <x:v>1/1/1</x:v>
      </x:c>
      <x:c r="F10" s="22" t="str">
        <x:v>Соответствует ожиданию; агентный запуск</x:v>
      </x:c>
      <x:c r="G10" s="4"/>
      <x:c r="H10" s="4"/>
      <x:c r="I10" s="4"/>
      <x:c r="J10" s="4"/>
    </x:row>
    <x:row r="11" ht="55" customHeight="1">
      <x:c r="A11" s="4" t="str">
        <x:v>T7</x:v>
      </x:c>
      <x:c r="B11" s="4" t="str">
        <x:v>d=3; q=130; 130/140</x:v>
      </x:c>
      <x:c r="C11" s="4" t="str">
        <x:v>0 кг, 2 конфликта</x:v>
      </x:c>
      <x:c r="D11" s="22" t="str">
        <x:v>0 кг; учтено 0</x:v>
      </x:c>
      <x:c r="E11" s="22" t="str">
        <x:v>1/1/1</x:v>
      </x:c>
      <x:c r="F11" s="22" t="str">
        <x:v>Соответствует ожиданию; агентный запуск</x:v>
      </x:c>
      <x:c r="G11" s="4"/>
      <x:c r="H11" s="4"/>
      <x:c r="I11" s="4"/>
      <x:c r="J11" s="4"/>
    </x:row>
    <x:row r="12" ht="24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4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30" customHeight="1">
      <x:c r="A14" s="4" t="str">
        <x:v>Проверку выполнил агент по разрешению пользователя. Факты относятся к Excel 16.0 и этому учебному набору. Права, сеть, восстановление и конкурентная запись не испытаны.</x:v>
      </x:c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3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3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24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24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24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24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F1"/>
    <x:mergeCell ref="A14:F16"/>
  </x:mergeCells>
  <x:pageMargins left="0.7" right="0.7" top="0.75" bottom="0.75" header="0.3" footer="0.3"/>
</x:worksheet>
</file>